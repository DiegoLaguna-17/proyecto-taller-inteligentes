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F:\桌面文件\scientific data文章资料\待完善数据(2)\英文数据\"/>
    </mc:Choice>
  </mc:AlternateContent>
  <xr:revisionPtr revIDLastSave="0" documentId="13_ncr:1_{D1704F93-ED93-4799-80EC-551EE54F7D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2DM" sheetId="2" r:id="rId1"/>
  </sheets>
  <definedNames>
    <definedName name="_xlnm._FilterDatabase" localSheetId="0" hidden="1">T2DM!$A$1:$AG$110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6" i="2" l="1"/>
  <c r="F15" i="2"/>
  <c r="F14" i="2"/>
  <c r="J13" i="2"/>
  <c r="F13" i="2"/>
  <c r="J12" i="2"/>
  <c r="F12" i="2"/>
  <c r="J10" i="2"/>
  <c r="F10" i="2"/>
  <c r="F9" i="2"/>
  <c r="J8" i="2"/>
  <c r="F8" i="2"/>
  <c r="F7" i="2"/>
  <c r="F6" i="2"/>
</calcChain>
</file>

<file path=xl/sharedStrings.xml><?xml version="1.0" encoding="utf-8"?>
<sst xmlns="http://schemas.openxmlformats.org/spreadsheetml/2006/main" count="1509" uniqueCount="366">
  <si>
    <t>/</t>
  </si>
  <si>
    <t>yes</t>
  </si>
  <si>
    <t>hyperlipidemia</t>
  </si>
  <si>
    <t>Height (m)</t>
    <phoneticPr fontId="3" type="noConversion"/>
  </si>
  <si>
    <t>Weight (kg)</t>
    <phoneticPr fontId="3" type="noConversion"/>
  </si>
  <si>
    <t>Acute Diabetic Complications</t>
    <phoneticPr fontId="3" type="noConversion"/>
  </si>
  <si>
    <t>Diabetic Macrovascular  Complications</t>
    <phoneticPr fontId="2" type="noConversion"/>
  </si>
  <si>
    <t>Diabetic Microvascular Complications</t>
    <phoneticPr fontId="3" type="noConversion"/>
  </si>
  <si>
    <t>Patient Number</t>
    <phoneticPr fontId="2" type="noConversion"/>
  </si>
  <si>
    <t>Gender (Female=1, Male=2)</t>
    <phoneticPr fontId="3" type="noConversion"/>
  </si>
  <si>
    <t>Smoking History (pack year)</t>
    <phoneticPr fontId="2" type="noConversion"/>
  </si>
  <si>
    <t>Alcohol Drinking History (drinker/non-drinker)</t>
    <phoneticPr fontId="2" type="noConversion"/>
  </si>
  <si>
    <t>Type of Diabetes</t>
    <phoneticPr fontId="3" type="noConversion"/>
  </si>
  <si>
    <t>Comorbidities</t>
    <phoneticPr fontId="3" type="noConversion"/>
  </si>
  <si>
    <t>HbA1c (%)</t>
    <phoneticPr fontId="3" type="noConversion"/>
  </si>
  <si>
    <t>Glycated Albumin (%)</t>
    <phoneticPr fontId="3" type="noConversion"/>
  </si>
  <si>
    <t>Hypoglycemia (yes/no)</t>
  </si>
  <si>
    <t>yes</t>
    <phoneticPr fontId="2" type="noConversion"/>
  </si>
  <si>
    <t>no</t>
    <phoneticPr fontId="2" type="noConversion"/>
  </si>
  <si>
    <t>none</t>
  </si>
  <si>
    <t>coronary heart disease</t>
  </si>
  <si>
    <t xml:space="preserve">coronary heart disease  </t>
  </si>
  <si>
    <t>peripheral arterial disease</t>
  </si>
  <si>
    <t>neuropathy</t>
  </si>
  <si>
    <t>retinopathy</t>
  </si>
  <si>
    <t>nephropathy</t>
  </si>
  <si>
    <t>yes</t>
    <phoneticPr fontId="2" type="noConversion"/>
  </si>
  <si>
    <t>no</t>
    <phoneticPr fontId="2" type="noConversion"/>
  </si>
  <si>
    <t>drinker</t>
  </si>
  <si>
    <t>non-drinker</t>
    <phoneticPr fontId="2" type="noConversion"/>
  </si>
  <si>
    <t>none</t>
    <phoneticPr fontId="2" type="noConversion"/>
  </si>
  <si>
    <t>cerebrovascular disease</t>
  </si>
  <si>
    <t>none</t>
    <phoneticPr fontId="2" type="noConversion"/>
  </si>
  <si>
    <t>hypertension</t>
  </si>
  <si>
    <t>thyroid nodule</t>
  </si>
  <si>
    <t>fatty liver disease</t>
  </si>
  <si>
    <t>thyroid nodule</t>
    <phoneticPr fontId="2" type="noConversion"/>
  </si>
  <si>
    <t>psoriasis</t>
    <phoneticPr fontId="2" type="noConversion"/>
  </si>
  <si>
    <t>pancreatic cancer</t>
    <phoneticPr fontId="2" type="noConversion"/>
  </si>
  <si>
    <t>nephropathy</t>
    <phoneticPr fontId="2" type="noConversion"/>
  </si>
  <si>
    <t>myocardial bridging</t>
    <phoneticPr fontId="2" type="noConversion"/>
  </si>
  <si>
    <t>Other Agents</t>
    <phoneticPr fontId="3" type="noConversion"/>
  </si>
  <si>
    <t>Hypoglycemic Agents</t>
    <phoneticPr fontId="3" type="noConversion"/>
  </si>
  <si>
    <t>2-hour Postprandial insulin (pmol/L)</t>
  </si>
  <si>
    <t xml:space="preserve">metformin </t>
  </si>
  <si>
    <t>metformin</t>
  </si>
  <si>
    <t xml:space="preserve">sitagliptin  </t>
  </si>
  <si>
    <t xml:space="preserve">sitagliptin   </t>
  </si>
  <si>
    <t xml:space="preserve">gliclazide </t>
  </si>
  <si>
    <t>metformin</t>
    <phoneticPr fontId="2" type="noConversion"/>
  </si>
  <si>
    <t xml:space="preserve">repaglinide </t>
    <phoneticPr fontId="2" type="noConversion"/>
  </si>
  <si>
    <t>insulin aspart 70/30</t>
  </si>
  <si>
    <t>insulin aspart 70/30</t>
    <phoneticPr fontId="2" type="noConversion"/>
  </si>
  <si>
    <t>dapagliflozin</t>
    <phoneticPr fontId="2" type="noConversion"/>
  </si>
  <si>
    <t xml:space="preserve">metformin </t>
    <phoneticPr fontId="2" type="noConversion"/>
  </si>
  <si>
    <t xml:space="preserve">gliclazide </t>
    <phoneticPr fontId="2" type="noConversion"/>
  </si>
  <si>
    <t xml:space="preserve">acarbose, repaglinide  </t>
    <phoneticPr fontId="2" type="noConversion"/>
  </si>
  <si>
    <t xml:space="preserve">gliclazide  </t>
    <phoneticPr fontId="2" type="noConversion"/>
  </si>
  <si>
    <t xml:space="preserve">metformin  </t>
  </si>
  <si>
    <t xml:space="preserve">acarbose  </t>
    <phoneticPr fontId="2" type="noConversion"/>
  </si>
  <si>
    <t xml:space="preserve">sitagliptin, metformin  </t>
    <phoneticPr fontId="2" type="noConversion"/>
  </si>
  <si>
    <t xml:space="preserve"> gliquidone  </t>
    <phoneticPr fontId="2" type="noConversion"/>
  </si>
  <si>
    <t xml:space="preserve">gliclazide, sitagliptin  </t>
    <phoneticPr fontId="2" type="noConversion"/>
  </si>
  <si>
    <t xml:space="preserve">acarbose, sitagliptin     </t>
    <phoneticPr fontId="2" type="noConversion"/>
  </si>
  <si>
    <t xml:space="preserve">sitagliptin, metformin </t>
    <phoneticPr fontId="2" type="noConversion"/>
  </si>
  <si>
    <t xml:space="preserve">acarbose, insulin aspart 70/30 </t>
    <phoneticPr fontId="2" type="noConversion"/>
  </si>
  <si>
    <t xml:space="preserve">sitagliptin, gliclazide, insulin degludec </t>
    <phoneticPr fontId="2" type="noConversion"/>
  </si>
  <si>
    <t xml:space="preserve">metformin, voglibose  </t>
    <phoneticPr fontId="2" type="noConversion"/>
  </si>
  <si>
    <t>insulin glarigine, insulin glulisine</t>
    <phoneticPr fontId="2" type="noConversion"/>
  </si>
  <si>
    <t>voglibose, insulin degludec</t>
    <phoneticPr fontId="2" type="noConversion"/>
  </si>
  <si>
    <t xml:space="preserve"> insulin degludec, metformin </t>
    <phoneticPr fontId="2" type="noConversion"/>
  </si>
  <si>
    <t xml:space="preserve">Novolin 30R, metformin, voglibose </t>
    <phoneticPr fontId="2" type="noConversion"/>
  </si>
  <si>
    <t xml:space="preserve">Gansulin 40R </t>
    <phoneticPr fontId="2" type="noConversion"/>
  </si>
  <si>
    <t>polyene phosphatidylcholine</t>
  </si>
  <si>
    <t>polyene phosphatidylcholine</t>
    <phoneticPr fontId="2" type="noConversion"/>
  </si>
  <si>
    <t>insulin degludec, metformin</t>
    <phoneticPr fontId="2" type="noConversion"/>
  </si>
  <si>
    <t xml:space="preserve">atorvastatin, mecobalamin, epalrestat </t>
  </si>
  <si>
    <t>atorvastatin, aspirin</t>
  </si>
  <si>
    <t xml:space="preserve">atorvastatin, rabeprazole  </t>
  </si>
  <si>
    <t>aspirin, polyene phosphatidylcholine</t>
    <phoneticPr fontId="2" type="noConversion"/>
  </si>
  <si>
    <t>nifedipine, olmesartan, atorvastatin, aspirin</t>
    <phoneticPr fontId="2" type="noConversion"/>
  </si>
  <si>
    <t>fenofibrate, polyene phosphatidylcholine, mecobalamin</t>
    <phoneticPr fontId="2" type="noConversion"/>
  </si>
  <si>
    <t>labetalol</t>
    <phoneticPr fontId="2" type="noConversion"/>
  </si>
  <si>
    <t>olmesartan, nifedipine</t>
    <phoneticPr fontId="2" type="noConversion"/>
  </si>
  <si>
    <t>atorvastatin, aspirin</t>
    <phoneticPr fontId="2" type="noConversion"/>
  </si>
  <si>
    <t>nifedipine</t>
    <phoneticPr fontId="2" type="noConversion"/>
  </si>
  <si>
    <t xml:space="preserve">nifedipine </t>
  </si>
  <si>
    <t>aspirin</t>
    <phoneticPr fontId="2" type="noConversion"/>
  </si>
  <si>
    <t>amlodipine</t>
    <phoneticPr fontId="2" type="noConversion"/>
  </si>
  <si>
    <t xml:space="preserve">metoprolol </t>
    <phoneticPr fontId="2" type="noConversion"/>
  </si>
  <si>
    <t xml:space="preserve">bisoprolol </t>
  </si>
  <si>
    <t xml:space="preserve">fenofibrate  </t>
  </si>
  <si>
    <t xml:space="preserve">pancreatic kininogenase </t>
    <phoneticPr fontId="2" type="noConversion"/>
  </si>
  <si>
    <t xml:space="preserve">bisoprolol, calcitriol, atorvastatin,  betahistine </t>
    <phoneticPr fontId="2" type="noConversion"/>
  </si>
  <si>
    <t xml:space="preserve">mecobalamin, calcium dobesilate, pravastatin </t>
    <phoneticPr fontId="2" type="noConversion"/>
  </si>
  <si>
    <t>2000_0_20201230</t>
    <phoneticPr fontId="2" type="noConversion"/>
  </si>
  <si>
    <t>2001_0_20201102</t>
    <phoneticPr fontId="2" type="noConversion"/>
  </si>
  <si>
    <t>2001_1_20201117</t>
    <phoneticPr fontId="2" type="noConversion"/>
  </si>
  <si>
    <t>2002_0_20210513</t>
    <phoneticPr fontId="3" type="noConversion"/>
  </si>
  <si>
    <t>2003_0_20210615</t>
    <phoneticPr fontId="3" type="noConversion"/>
  </si>
  <si>
    <t>2004_0_20211028</t>
    <phoneticPr fontId="2" type="noConversion"/>
  </si>
  <si>
    <t>2005_0_20211201</t>
    <phoneticPr fontId="2" type="noConversion"/>
  </si>
  <si>
    <t>2006_0_20211112</t>
    <phoneticPr fontId="2" type="noConversion"/>
  </si>
  <si>
    <t>2007_0_20220108</t>
  </si>
  <si>
    <t>2008_0_20220118</t>
  </si>
  <si>
    <t>2009_0_20211103</t>
  </si>
  <si>
    <t>2010_0_20220111</t>
  </si>
  <si>
    <t>2011_0_20220123</t>
  </si>
  <si>
    <t>2012_0_20220126</t>
  </si>
  <si>
    <t>2013_0_20220123</t>
  </si>
  <si>
    <t>2014_0_20201224</t>
  </si>
  <si>
    <t>2014_1_20210317</t>
  </si>
  <si>
    <t>2015_0_20210203</t>
  </si>
  <si>
    <t>2015_1_20210219</t>
  </si>
  <si>
    <t>2016_0_20201224</t>
  </si>
  <si>
    <t>2017_0_20210102</t>
  </si>
  <si>
    <t>2017_1_20201118</t>
  </si>
  <si>
    <t>2018_0_20210420</t>
  </si>
  <si>
    <t>2019_0_20210513</t>
  </si>
  <si>
    <t>2020_0_20210423</t>
  </si>
  <si>
    <t>2021_0_20211013</t>
  </si>
  <si>
    <t>2022_0_20210419</t>
  </si>
  <si>
    <t>2023_0_20210812</t>
  </si>
  <si>
    <t>2024_0_20210429</t>
  </si>
  <si>
    <t>2025_0_20210506</t>
  </si>
  <si>
    <t>2026_0_20210916</t>
  </si>
  <si>
    <t>2027_0_20210521</t>
  </si>
  <si>
    <t>2028_0_20210426</t>
  </si>
  <si>
    <t>2029_0_20210526</t>
  </si>
  <si>
    <t>2030_0_20210531</t>
  </si>
  <si>
    <t>2031_0_20210601</t>
  </si>
  <si>
    <t>2032_0_20210727</t>
  </si>
  <si>
    <t>2033_0_20210615</t>
  </si>
  <si>
    <t>2034_0_20210624</t>
  </si>
  <si>
    <t>2035_0_20210629</t>
  </si>
  <si>
    <t>2036_0_20210803</t>
  </si>
  <si>
    <t>2038_0_20210608</t>
  </si>
  <si>
    <t>2039_0_20210615</t>
  </si>
  <si>
    <t>2040_0_20210729</t>
  </si>
  <si>
    <t>2037_0_20201221</t>
  </si>
  <si>
    <t>2041_0_20210813</t>
  </si>
  <si>
    <t>2042_0_20211019</t>
  </si>
  <si>
    <t>2043_0_20210513</t>
  </si>
  <si>
    <t>2044_0_20211101</t>
  </si>
  <si>
    <t>2045_0_20201216</t>
  </si>
  <si>
    <t>2047_0_20210420</t>
  </si>
  <si>
    <t>2046_0_20201216</t>
  </si>
  <si>
    <t>2048_0_20210426</t>
  </si>
  <si>
    <t>2049_0_20210426</t>
  </si>
  <si>
    <t>2050_0_20210510</t>
  </si>
  <si>
    <t>2051_0_20210512</t>
  </si>
  <si>
    <t>2052_0_20210511</t>
  </si>
  <si>
    <t>2053_0_20210518</t>
  </si>
  <si>
    <t>2054_0_20210524</t>
  </si>
  <si>
    <t>2055_1_20201207</t>
  </si>
  <si>
    <t>2056_0_20210524</t>
  </si>
  <si>
    <t>2057_0_20210525</t>
  </si>
  <si>
    <t>2058_0_20210524</t>
  </si>
  <si>
    <t>2059_0_20210525</t>
  </si>
  <si>
    <t>2060_0_20201214</t>
  </si>
  <si>
    <t>2061_0_20210601</t>
  </si>
  <si>
    <t>2062_0_20210601</t>
  </si>
  <si>
    <t>2063_0_20210608</t>
  </si>
  <si>
    <t>2064_0_20210608</t>
  </si>
  <si>
    <t>2065_0_20210615</t>
  </si>
  <si>
    <t>2066_0_20210615</t>
  </si>
  <si>
    <t>2067_0_20210615</t>
  </si>
  <si>
    <t>2068_0_20210616</t>
  </si>
  <si>
    <t>2069_0_20210621</t>
  </si>
  <si>
    <t>2069_1_20210705</t>
  </si>
  <si>
    <t>2069_2_20210825</t>
  </si>
  <si>
    <t>2070_0_20210629</t>
  </si>
  <si>
    <t>2071_0_20210705</t>
  </si>
  <si>
    <t>2072_0_20210706</t>
  </si>
  <si>
    <t>2073_0_20210703</t>
  </si>
  <si>
    <t>2074_0_20210707</t>
  </si>
  <si>
    <t>2074_1_20210720</t>
  </si>
  <si>
    <t>2075_0_20210720</t>
  </si>
  <si>
    <t>2076_0_20210720</t>
  </si>
  <si>
    <t>2077_0_20210803</t>
  </si>
  <si>
    <t>2078_0_20210803</t>
  </si>
  <si>
    <t>2078_1_20210817</t>
  </si>
  <si>
    <t>2079_0_20210809</t>
  </si>
  <si>
    <t>2080_0_20210816</t>
  </si>
  <si>
    <t>2081_0_20210817</t>
  </si>
  <si>
    <t>2082_0_20210907</t>
  </si>
  <si>
    <t>2083_0_20201214</t>
  </si>
  <si>
    <t>2084_0_20211013</t>
  </si>
  <si>
    <t>2085_0_20200907</t>
  </si>
  <si>
    <t>2086_0_20200914</t>
  </si>
  <si>
    <t>2087_0_20201012</t>
  </si>
  <si>
    <t>2088_0_20201123</t>
  </si>
  <si>
    <t>2089_0_20201019</t>
  </si>
  <si>
    <t>2090_0_20201130</t>
  </si>
  <si>
    <t>2091_0_20201029</t>
  </si>
  <si>
    <t>2092_0_20201109</t>
  </si>
  <si>
    <t>2093_0_20201109</t>
  </si>
  <si>
    <t>2094_0_20211109</t>
  </si>
  <si>
    <t>2095_0_20201116</t>
  </si>
  <si>
    <t>2096_0_20201116</t>
  </si>
  <si>
    <t>2097_0_20201116</t>
  </si>
  <si>
    <t>2098_0_20201106</t>
  </si>
  <si>
    <t>2099_0_20201116</t>
  </si>
  <si>
    <t>2055_0_20210524</t>
    <phoneticPr fontId="2" type="noConversion"/>
  </si>
  <si>
    <t>insulin aspart 70/30, metformin, acarbose</t>
    <phoneticPr fontId="2" type="noConversion"/>
  </si>
  <si>
    <t>T2DM</t>
  </si>
  <si>
    <t>T2DM</t>
    <phoneticPr fontId="2" type="noConversion"/>
  </si>
  <si>
    <t>neuropathy, retinopathy</t>
    <phoneticPr fontId="2" type="noConversion"/>
  </si>
  <si>
    <t xml:space="preserve">Zhenju Jiangya tablet (Chinese patent drug for hypertension) </t>
  </si>
  <si>
    <t>Zhenju Jiangya tablet (Chinese patent drug for hypertension)</t>
  </si>
  <si>
    <t>Duration of diabetes (years)</t>
    <phoneticPr fontId="3" type="noConversion"/>
  </si>
  <si>
    <t>Age (years)</t>
    <phoneticPr fontId="3" type="noConversion"/>
  </si>
  <si>
    <t>nephropathy, neuropathy, retinopathy</t>
    <phoneticPr fontId="2" type="noConversion"/>
  </si>
  <si>
    <t>none</t>
    <phoneticPr fontId="2" type="noConversion"/>
  </si>
  <si>
    <t>sitagliptin</t>
    <phoneticPr fontId="2" type="noConversion"/>
  </si>
  <si>
    <t xml:space="preserve">insulin degludec, gliclazide, voglibose, metformin </t>
    <phoneticPr fontId="2" type="noConversion"/>
  </si>
  <si>
    <t>none</t>
    <phoneticPr fontId="2" type="noConversion"/>
  </si>
  <si>
    <t>metformin, acarbose, gliclazide</t>
    <phoneticPr fontId="2" type="noConversion"/>
  </si>
  <si>
    <t>hypertension, hyperuricemia, nephrolithiasis, kidney cyst, prostatic hyperplasia, hepatic dysfunction, chronic hepatitis B</t>
  </si>
  <si>
    <t>hypertension, vitamin D deficiency</t>
  </si>
  <si>
    <t>atrial fibrillation, vitamin D deficiency, pulmonary nodule, thyroid nodule, cerebrovascular disease, Alzheimer's disease, urinary tract infection, anxiety</t>
  </si>
  <si>
    <t>thyroid nodule, hyperlipidemia, pulmonary nodule</t>
  </si>
  <si>
    <t>fatty liver disease, thyroid nodule, nephrolithiasis, hydronephrosis, pulmonary nodule, prostatic hyperplasia</t>
  </si>
  <si>
    <t>hypertension, hypokalemia, hyperlipidemia, fatty liver disease, thyroid nodule, pulmonary nodule</t>
  </si>
  <si>
    <t>hypertension, vitamin D deficiency, prostatic hyperplasia, pulmonary nodule, kidney cyst</t>
  </si>
  <si>
    <t>hyperlipidemia, fatty liver disease, hyperuricemia, nephrolithiasis, vitamin D deficiency, prostatic hyperplasia, pulmonary nodule, hypertension</t>
  </si>
  <si>
    <t>hypertension, hyperlipidemia</t>
  </si>
  <si>
    <t>hypertension, thyroid nodule, osteoporosis</t>
  </si>
  <si>
    <t>liver cyst, cholelithiasis, kidney cyst, thyroid nodule, prostatic hyperplasia, osteoporosis</t>
  </si>
  <si>
    <t>hypertension, vitamin D deficiency, cataract, enlarged adrenal gland</t>
  </si>
  <si>
    <t>hepatic dysfunction, hyperlipidemia, fatty liver disease, liver cyst, gallbladder polyp, thyroid nodule</t>
  </si>
  <si>
    <t>liver cyst, fatty liver disease, pulmonary nodule, thyroid nodule</t>
  </si>
  <si>
    <t>hypertension, vitamin D deficiency, thyroid nodule</t>
  </si>
  <si>
    <t>hypertension, hypertension, hyperuricemia, hyperlipidemia, thyroid nodule, vitamin D deficiency, pulmonary nodule, fatty liver disease, cholelithiasis, prostatic hyperplasia</t>
  </si>
  <si>
    <t>pancreatic cancer, osteopenia, hepatic dysfunction, pulmonary nodule</t>
  </si>
  <si>
    <t>hypertension, hyperuricemia, hyperlipidemia</t>
  </si>
  <si>
    <t>hyperlipidemia, hepatic dysfunction, fatty liver disease, pulmonary nodule, kidney cyst, vitamin D deficiency</t>
  </si>
  <si>
    <t>prostatic hyperplasia, kidney cyst</t>
  </si>
  <si>
    <t>hepatic dysfunction, hyperlipidemia, fatty liver disease, hypokalemia, lumbar herniated disc, periodontitis</t>
  </si>
  <si>
    <t>hepatic dysfunction, hypertension</t>
  </si>
  <si>
    <t>hypertension, hypokalemia, hyperlipidemia, fatty liver disease, thyroid nodule</t>
  </si>
  <si>
    <t>hypertension, chronic atrophic gastritis</t>
  </si>
  <si>
    <t>hypertension, atrial fibrillation</t>
  </si>
  <si>
    <t>hypertension, hypothyroidism, hysteromyoma</t>
  </si>
  <si>
    <t>cholecystitis, hysteromyoma, thyroid nodule</t>
  </si>
  <si>
    <t>cataract, hyperlipidemia, fatty liver disease, osteoporosis</t>
  </si>
  <si>
    <t>hypertension, hyperlipidemia, thyroid nodule, sinus bradycardia, fatty liver disease, kidney cyst</t>
  </si>
  <si>
    <t xml:space="preserve">hypertension, hyperlipidemia             </t>
  </si>
  <si>
    <t>hypertension, fatty liver disease, hypothyroidism</t>
  </si>
  <si>
    <t>amlodipine, irbesartan, beiprostaglandin sodium, Shen Shuai Ning capsule (Chinese patent drug for renal dysfunction), compound α-keto acid tablet</t>
    <phoneticPr fontId="2" type="noConversion"/>
  </si>
  <si>
    <t>hyperlipidemia, fatty liver disease, thyroid nodule, conjunctivitis, prostatic hyperplasia</t>
    <phoneticPr fontId="2" type="noConversion"/>
  </si>
  <si>
    <t>atorvastatin</t>
    <phoneticPr fontId="2" type="noConversion"/>
  </si>
  <si>
    <t xml:space="preserve">clopidogrel, metoprolol, rosuvastatinqn, nifedipine doxazosin, benazepril, vitamin B1, mecobalamin, epalrestat, calcitriol  </t>
    <phoneticPr fontId="2" type="noConversion"/>
  </si>
  <si>
    <t xml:space="preserve">atorvastatin, mecobalamin, epalrestat, vitamin B1, calcitriol, calcitriol, potassium chloride </t>
    <phoneticPr fontId="2" type="noConversion"/>
  </si>
  <si>
    <t>nifedipine, metoprolol, calcium dobesilate, atorvastatin, mecobalamin, epalrestat, vitamin B1, valsartan</t>
    <phoneticPr fontId="2" type="noConversion"/>
  </si>
  <si>
    <t>epalrestat, atorvastatin, aspirin</t>
    <phoneticPr fontId="2" type="noConversion"/>
  </si>
  <si>
    <t>calcium dobesilate, atorvastatin, aspirin, mecobalamin, epalrestat, vitamin B1, calcitriol, calcium carbonate and vitamin D3 tablet</t>
    <phoneticPr fontId="2" type="noConversion"/>
  </si>
  <si>
    <t>calcitriol, aspirin</t>
    <phoneticPr fontId="2" type="noConversion"/>
  </si>
  <si>
    <t>rabeprazole, atorvastatin, aspirin, clopidogrel, candesartan</t>
  </si>
  <si>
    <t xml:space="preserve">olmesartan, benidipine, metoprolol, calcium dobesilate, atorvastatin, aspirin, mecobalamin, epalrestat, beiprostaglandin sodium, bisoprolol  </t>
  </si>
  <si>
    <t xml:space="preserve">calcium dobesilate, atorvastatin, aspirin, mecobalamin, epalrestat, calcitriol, vitamin B1, felodipine  </t>
  </si>
  <si>
    <t>olmesartan, calcium dobesilate, atorvastatin, aspirin, mecobalamin, epalrestat, calcitriol, febuxostat, compound α-keto acid tablet, nifedipine</t>
  </si>
  <si>
    <t>pancreatic kininogenase, rosuvastatin, calcium dobesilate, aspirin, calcium carbonate and vitamin D3 tablet, calcitriol, polyene phosphatidylcholine</t>
  </si>
  <si>
    <t>valsartan, atorvastatin, aspirin</t>
  </si>
  <si>
    <t xml:space="preserve">mecobalamin, epalrestat, vitamin B1, calcitriol </t>
  </si>
  <si>
    <t xml:space="preserve">aspirin, losartan, amlodipine, pravastatin , polyene phosphatidylcholine  </t>
  </si>
  <si>
    <t>polyene phosphatidylcholine, calcium dobesilate</t>
  </si>
  <si>
    <t>olmesartan, atorvastatin, aspirin, calcium dobesilate, mecobalamin, epalrestat, potassium chloride, calcitriol, calcium carbonate and vitamin D3 tablet</t>
  </si>
  <si>
    <t xml:space="preserve">atorvastatin, clopidogrel, rabeprazole, bisoprolol  </t>
  </si>
  <si>
    <t>atorvastatin, aspirin</t>
    <phoneticPr fontId="2" type="noConversion"/>
  </si>
  <si>
    <t>atorvastatin, aspirin, calcitriol, calcium carbonate and vitamin D3 tablet</t>
    <phoneticPr fontId="2" type="noConversion"/>
  </si>
  <si>
    <t>atorvastatin, febuxostat, aspirin, mecobalamin, epalrestat, bisoprolol, telmisartan</t>
    <phoneticPr fontId="2" type="noConversion"/>
  </si>
  <si>
    <t>benidipine, metoprolol, losartan/hydrochlorothiazide, atorvastatin, aspirin</t>
    <phoneticPr fontId="2" type="noConversion"/>
  </si>
  <si>
    <t xml:space="preserve">levofloxacin, pravastatin, doxazosin, Qianlie Shutong capsule  (Chinese patent drug for prostatic hyperplasia), mecobalamin, epalrestat, vitamin B1 </t>
    <phoneticPr fontId="2" type="noConversion"/>
  </si>
  <si>
    <t xml:space="preserve">multivitamin </t>
    <phoneticPr fontId="2" type="noConversion"/>
  </si>
  <si>
    <t>Yinxingye tablet (extract of Ginkgo biloba leaves)</t>
    <phoneticPr fontId="2" type="noConversion"/>
  </si>
  <si>
    <t xml:space="preserve">levofloxacin, valsartan, amlodipine, metoprolol, polyene phosphatidylcholine  </t>
    <phoneticPr fontId="2" type="noConversion"/>
  </si>
  <si>
    <t>ezetimibe, nifedipine, aspirin</t>
    <phoneticPr fontId="2" type="noConversion"/>
  </si>
  <si>
    <t>polyene phosphatidylcholine, metoprolol, levothyroxine, aspirin</t>
    <phoneticPr fontId="2" type="noConversion"/>
  </si>
  <si>
    <t>magnesium isoglycyrrhizinate, polyene phosphatidylcholine</t>
    <phoneticPr fontId="2" type="noConversion"/>
  </si>
  <si>
    <t xml:space="preserve">aspirin, atorvastatin, nifedipine, vitamin B1  </t>
    <phoneticPr fontId="2" type="noConversion"/>
  </si>
  <si>
    <t>hypertension, hyperlipidemia, fatty liver disease, vitamin D deficiency</t>
    <phoneticPr fontId="2" type="noConversion"/>
  </si>
  <si>
    <t>hypertension, Parkinson's disease, cataract, pulmonary nodule, hyperlipidemia, thyroid nodule, vitamin D deficiency, prostatic hyperplasia</t>
    <phoneticPr fontId="2" type="noConversion"/>
  </si>
  <si>
    <t>hyperlipidemia, fatty liver disease, urinary tract infection, cataract, thyroid nodule, osteoporosis, chronic hepatitis B, chronic gastritis, gastric polyp, colorectal polyp</t>
    <phoneticPr fontId="2" type="noConversion"/>
  </si>
  <si>
    <t>urinary tract infection, hydronephrosis, pulmonary nodule, cataract, hyperlipidemia, thyroid nodule, vitamin D deficiency, prostatic hyperplasia, osteoporosis, sinus bradycardia, sinus arrhythmia</t>
    <phoneticPr fontId="2" type="noConversion"/>
  </si>
  <si>
    <t>hypertension, Alzheimer's disease</t>
    <phoneticPr fontId="2" type="noConversion"/>
  </si>
  <si>
    <t>hypertension</t>
    <phoneticPr fontId="2" type="noConversion"/>
  </si>
  <si>
    <t>hyperlipidemia, hepatic dysfunction</t>
    <phoneticPr fontId="2" type="noConversion"/>
  </si>
  <si>
    <t>hypertension, hyperlipidemia,  parotid gland carcinoma, hepatic dysfunction, urinary tract infection, hyperuricemia, pulmonary nodule, fatty liver disease, thyroid nodule, osteopenia</t>
    <phoneticPr fontId="2" type="noConversion"/>
  </si>
  <si>
    <r>
      <t>BMI (kg/m</t>
    </r>
    <r>
      <rPr>
        <b/>
        <vertAlign val="superscript"/>
        <sz val="14"/>
        <rFont val="等线 Light"/>
        <family val="3"/>
        <charset val="134"/>
        <scheme val="major"/>
      </rPr>
      <t>2</t>
    </r>
    <r>
      <rPr>
        <b/>
        <sz val="12"/>
        <rFont val="等线"/>
        <family val="3"/>
        <charset val="134"/>
        <scheme val="minor"/>
      </rPr>
      <t>)</t>
    </r>
    <phoneticPr fontId="3" type="noConversion"/>
  </si>
  <si>
    <t>peripheral arterial disease, coronary heart disease</t>
  </si>
  <si>
    <t>peripheral arterial disease, cerebrovascular disease</t>
    <phoneticPr fontId="2" type="noConversion"/>
  </si>
  <si>
    <t>coronary heart disease, peripheral arterial disease</t>
    <phoneticPr fontId="2" type="noConversion"/>
  </si>
  <si>
    <t>peripheral arterial disease, coronary heart disease</t>
    <phoneticPr fontId="2" type="noConversion"/>
  </si>
  <si>
    <t>peripheral arterial disease, cerebrovascular disease</t>
    <phoneticPr fontId="2" type="noConversion"/>
  </si>
  <si>
    <t xml:space="preserve">acarbose, dapagliflozin, gliclazide   </t>
    <phoneticPr fontId="2" type="noConversion"/>
  </si>
  <si>
    <t>metformin, acarbose, gliclazide, sitagliptin</t>
    <phoneticPr fontId="2" type="noConversion"/>
  </si>
  <si>
    <t>insulin detemir, insulin aspart 70/30, acarbose</t>
    <phoneticPr fontId="2" type="noConversion"/>
  </si>
  <si>
    <t>Novolin 30R, acarbose</t>
    <phoneticPr fontId="2" type="noConversion"/>
  </si>
  <si>
    <t>Novolin 30R</t>
  </si>
  <si>
    <t xml:space="preserve">pioglitazone, metformin, insulin degludec </t>
    <phoneticPr fontId="2" type="noConversion"/>
  </si>
  <si>
    <t>insulin glarigine, metformin, acarbose</t>
    <phoneticPr fontId="2" type="noConversion"/>
  </si>
  <si>
    <t>acarbose, dapagliflozin, metformin</t>
    <phoneticPr fontId="2" type="noConversion"/>
  </si>
  <si>
    <t>insulin detemir, Novolin R</t>
    <phoneticPr fontId="2" type="noConversion"/>
  </si>
  <si>
    <t xml:space="preserve"> insulin detemir, Gansulin R</t>
    <phoneticPr fontId="2" type="noConversion"/>
  </si>
  <si>
    <t>nephropathy, neuropathy, retinopathy</t>
    <phoneticPr fontId="2" type="noConversion"/>
  </si>
  <si>
    <t>nephropathy, neuropathy</t>
    <phoneticPr fontId="2" type="noConversion"/>
  </si>
  <si>
    <t>neuropathy, retinopathy</t>
    <phoneticPr fontId="2" type="noConversion"/>
  </si>
  <si>
    <t>sitagliptin, acarbose</t>
    <phoneticPr fontId="2" type="noConversion"/>
  </si>
  <si>
    <t>pravastatin, aspirin, doxazosin, Qianlie Shutong capsule  (Chinese patent drug for prostatic hyperplasia)</t>
    <phoneticPr fontId="2" type="noConversion"/>
  </si>
  <si>
    <t>valsartan, atorvastatin</t>
    <phoneticPr fontId="2" type="noConversion"/>
  </si>
  <si>
    <t xml:space="preserve">nifedipine, metoprolol </t>
    <phoneticPr fontId="2" type="noConversion"/>
  </si>
  <si>
    <t>hypertension, prostatic hyperplasia, hypoparathyroidism, hypokalemia, vitamin D deficiency, cataract, cholelithiasis, kidney cyst, cerebrovascular disease, lung lesion</t>
    <phoneticPr fontId="2" type="noConversion"/>
  </si>
  <si>
    <t>insulin aspart 70/30, acarbose</t>
    <phoneticPr fontId="2" type="noConversion"/>
  </si>
  <si>
    <t xml:space="preserve">calcium dobesilate, mecobalamin, epalrestat,  bisacodyl, vitamin B1, clopidogrel, atorvastatin, clostridium butyricum, calcitriol   </t>
    <phoneticPr fontId="2" type="noConversion"/>
  </si>
  <si>
    <t>insulin aspart 70/30</t>
    <phoneticPr fontId="2" type="noConversion"/>
  </si>
  <si>
    <t xml:space="preserve">olmesartan, nifedipine, calcium dobesilate, atorvastatin, bisoprolol, calcitriol </t>
    <phoneticPr fontId="2" type="noConversion"/>
  </si>
  <si>
    <t xml:space="preserve">clopidogrel, rivaroxaban, metoprolol, quetiapine </t>
    <phoneticPr fontId="2" type="noConversion"/>
  </si>
  <si>
    <t>allisartan</t>
    <phoneticPr fontId="2" type="noConversion"/>
  </si>
  <si>
    <t xml:space="preserve">olmesartan, polyene phosphatidylcholine, atorvastatin, aspirin, febuxostat, epalrestat, nifedipine </t>
    <phoneticPr fontId="2" type="noConversion"/>
  </si>
  <si>
    <t>gliclazide</t>
    <phoneticPr fontId="2" type="noConversion"/>
  </si>
  <si>
    <t xml:space="preserve">canagliflozin, metformin </t>
    <phoneticPr fontId="2" type="noConversion"/>
  </si>
  <si>
    <t>dapagliflozin, liraglutide,pioglitazone, metformin</t>
    <phoneticPr fontId="2" type="noConversion"/>
  </si>
  <si>
    <t xml:space="preserve">repaglinide, metformin </t>
    <phoneticPr fontId="2" type="noConversion"/>
  </si>
  <si>
    <t>metformin, liraglutide</t>
    <phoneticPr fontId="2" type="noConversion"/>
  </si>
  <si>
    <t>metformin, Humulin 70/30</t>
    <phoneticPr fontId="2" type="noConversion"/>
  </si>
  <si>
    <t xml:space="preserve">metformin, Humulin 70/30 </t>
    <phoneticPr fontId="2" type="noConversion"/>
  </si>
  <si>
    <t>Fasting Plasma Glucose (mg/dl)</t>
  </si>
  <si>
    <t>2-hour Postprandial Plasma Glucose (mg/dl)</t>
  </si>
  <si>
    <t>Fasting C-peptide (nmol/L)</t>
  </si>
  <si>
    <t>Total Cholesterol (mmol/L)</t>
  </si>
  <si>
    <t>Triglyceride (mmol/L)</t>
  </si>
  <si>
    <t>High-Density Lipoprotein Cholesterol (mmol/L)</t>
  </si>
  <si>
    <t>Low-Density Lipoprotein Cholesterol (mmol/L)</t>
  </si>
  <si>
    <t>Creatinine (umol/L)</t>
  </si>
  <si>
    <t>Uric Acid (mmol/L)</t>
  </si>
  <si>
    <t>Blood Urea Nitrogen (mmol/L)</t>
  </si>
  <si>
    <t xml:space="preserve">sitagliptin  </t>
    <phoneticPr fontId="2" type="noConversion"/>
  </si>
  <si>
    <t>2-hour Postprandial C-peptide (nmol/L)</t>
    <phoneticPr fontId="2" type="noConversion"/>
  </si>
  <si>
    <t>Fasting Insulin (pmol/L)</t>
    <phoneticPr fontId="2" type="noConversion"/>
  </si>
  <si>
    <t xml:space="preserve">voglibose </t>
  </si>
  <si>
    <t>Novolin R</t>
  </si>
  <si>
    <t>pioglitazone, acarbose, metformin, sitagliptin</t>
    <phoneticPr fontId="2" type="noConversion"/>
  </si>
  <si>
    <t>metformin, sitagliptin, gliclazide</t>
    <phoneticPr fontId="2" type="noConversion"/>
  </si>
  <si>
    <t>insulin aspart 70/30, acarbose</t>
  </si>
  <si>
    <t xml:space="preserve">insulin aspart 70/30, metformin  </t>
    <phoneticPr fontId="2" type="noConversion"/>
  </si>
  <si>
    <t>insulin aspart 70/30, gliclazide</t>
    <phoneticPr fontId="2" type="noConversion"/>
  </si>
  <si>
    <t>pioglitazone, metformin, gliquidone</t>
    <phoneticPr fontId="2" type="noConversion"/>
  </si>
  <si>
    <t>metformin, insulin detemir</t>
  </si>
  <si>
    <t xml:space="preserve">insulin aspart 70/30, acarbose, sitagliptin  </t>
    <phoneticPr fontId="2" type="noConversion"/>
  </si>
  <si>
    <t>insulin aspart 50/50, acarbose, metformin, glimepiride</t>
  </si>
  <si>
    <t>insulin detemir, Novolin R</t>
    <phoneticPr fontId="2" type="noConversion"/>
  </si>
  <si>
    <t xml:space="preserve"> insulin detemir, Novolin R</t>
    <phoneticPr fontId="2" type="noConversion"/>
  </si>
  <si>
    <t xml:space="preserve"> insulin aspart 70/30</t>
    <phoneticPr fontId="2" type="noConversion"/>
  </si>
  <si>
    <t xml:space="preserve">insulin glargine, Humulin R, voglibose  </t>
    <phoneticPr fontId="2" type="noConversion"/>
  </si>
  <si>
    <t>Novolin R</t>
    <phoneticPr fontId="2" type="noConversion"/>
  </si>
  <si>
    <t>insulin detemir, acarbose, metformin</t>
    <phoneticPr fontId="2" type="noConversion"/>
  </si>
  <si>
    <t>Novolin 30R</t>
    <phoneticPr fontId="2" type="noConversion"/>
  </si>
  <si>
    <t>insulin glarigine, metformin</t>
    <phoneticPr fontId="2" type="noConversion"/>
  </si>
  <si>
    <t>Novolin R, insulin glarigine</t>
    <phoneticPr fontId="2" type="noConversion"/>
  </si>
  <si>
    <t>Novolin R</t>
    <phoneticPr fontId="2" type="noConversion"/>
  </si>
  <si>
    <t>insulin detemir, Novolin R, acarbose, metformin</t>
    <phoneticPr fontId="2" type="noConversion"/>
  </si>
  <si>
    <t xml:space="preserve">Novolin R, metformin   </t>
    <phoneticPr fontId="2" type="noConversion"/>
  </si>
  <si>
    <t>Novolin 30R</t>
    <phoneticPr fontId="2" type="noConversion"/>
  </si>
  <si>
    <t>metformin, acarbose, Novolin 30R</t>
    <phoneticPr fontId="2" type="noConversion"/>
  </si>
  <si>
    <r>
      <t>Estimated Glomerular Filtration Rate  (ml/min/1.73m</t>
    </r>
    <r>
      <rPr>
        <b/>
        <vertAlign val="superscript"/>
        <sz val="12"/>
        <rFont val="等线"/>
        <family val="3"/>
        <charset val="134"/>
        <scheme val="minor"/>
      </rPr>
      <t>2</t>
    </r>
    <r>
      <rPr>
        <b/>
        <sz val="12"/>
        <rFont val="等线"/>
        <family val="3"/>
        <charset val="134"/>
        <scheme val="minor"/>
      </rPr>
      <t xml:space="preserve">)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</si>
</sst>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);[Red]\(0.00\)"/>
    <numFmt numFmtId="177" formatCode="0.00_ "/>
    <numFmt numFmtId="178" formatCode="0.000_);[Red]\(0.000\)"/>
    <numFmt numFmtId="179" formatCode="0_);[Red]\(0\)"/>
    <numFmt numFmtId="180" formatCode="0.0_);[Red]\(0.0\)"/>
  </numFmts>
  <fonts count="12" x14ac:knownFonts="1">
    <font>
      <sz val="11"/>
      <color theme="1"/>
      <name val="等线"/>
      <family val="2"/>
      <scheme val="minor"/>
    </font>
    <font>
      <b/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2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1"/>
      <name val="等线"/>
      <family val="2"/>
      <scheme val="minor"/>
    </font>
    <font>
      <b/>
      <vertAlign val="superscript"/>
      <sz val="14"/>
      <name val="等线 Light"/>
      <family val="3"/>
      <charset val="134"/>
      <scheme val="major"/>
    </font>
    <font>
      <b/>
      <vertAlign val="superscript"/>
      <sz val="12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176" fontId="5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176" fontId="5" fillId="0" borderId="0" xfId="0" applyNumberFormat="1" applyFont="1" applyFill="1" applyAlignment="1">
      <alignment horizontal="center" vertical="center" wrapText="1"/>
    </xf>
    <xf numFmtId="180" fontId="5" fillId="0" borderId="0" xfId="0" applyNumberFormat="1" applyFont="1" applyFill="1" applyAlignment="1">
      <alignment horizontal="center" vertical="center" wrapText="1"/>
    </xf>
    <xf numFmtId="179" fontId="5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177" fontId="6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180" fontId="6" fillId="0" borderId="0" xfId="0" applyNumberFormat="1" applyFont="1" applyFill="1" applyAlignment="1">
      <alignment horizontal="center" vertical="center"/>
    </xf>
    <xf numFmtId="179" fontId="6" fillId="0" borderId="0" xfId="0" applyNumberFormat="1" applyFont="1" applyFill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 wrapText="1"/>
    </xf>
    <xf numFmtId="178" fontId="6" fillId="0" borderId="0" xfId="0" applyNumberFormat="1" applyFont="1" applyFill="1" applyAlignment="1">
      <alignment horizontal="center" vertical="center"/>
    </xf>
    <xf numFmtId="176" fontId="9" fillId="0" borderId="0" xfId="0" applyNumberFormat="1" applyFont="1" applyFill="1" applyAlignment="1">
      <alignment horizontal="center" vertical="center"/>
    </xf>
    <xf numFmtId="176" fontId="6" fillId="0" borderId="0" xfId="0" quotePrefix="1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76" fontId="8" fillId="0" borderId="0" xfId="0" applyNumberFormat="1" applyFont="1" applyFill="1" applyAlignment="1">
      <alignment horizontal="center" vertical="center"/>
    </xf>
    <xf numFmtId="0" fontId="6" fillId="0" borderId="0" xfId="0" applyFont="1" applyFill="1"/>
    <xf numFmtId="176" fontId="6" fillId="0" borderId="0" xfId="0" applyNumberFormat="1" applyFont="1" applyFill="1"/>
    <xf numFmtId="0" fontId="0" fillId="0" borderId="0" xfId="0" applyFill="1"/>
    <xf numFmtId="0" fontId="0" fillId="0" borderId="0" xfId="0" applyFill="1" applyAlignment="1">
      <alignment horizontal="center"/>
    </xf>
    <xf numFmtId="0" fontId="6" fillId="0" borderId="0" xfId="0" applyFont="1" applyFill="1" applyAlignment="1">
      <alignment wrapText="1"/>
    </xf>
    <xf numFmtId="176" fontId="6" fillId="0" borderId="0" xfId="0" applyNumberFormat="1" applyFont="1" applyFill="1" applyAlignment="1">
      <alignment horizontal="center"/>
    </xf>
    <xf numFmtId="180" fontId="6" fillId="0" borderId="0" xfId="0" applyNumberFormat="1" applyFont="1" applyFill="1" applyAlignment="1">
      <alignment horizontal="center"/>
    </xf>
    <xf numFmtId="179" fontId="6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BDA3-260F-4253-BFE5-0C5AE5FBA8E8}">
  <sheetPr codeName="Sheet2"/>
  <dimension ref="A1:AG110"/>
  <sheetViews>
    <sheetView tabSelected="1" zoomScale="70" zoomScaleNormal="70" workbookViewId="0">
      <selection activeCell="AP9" sqref="A1:XFD1048576"/>
    </sheetView>
  </sheetViews>
  <sheetFormatPr defaultRowHeight="13.8" x14ac:dyDescent="0.25"/>
  <cols>
    <col min="1" max="1" width="24.88671875" style="24" customWidth="1"/>
    <col min="2" max="3" width="8.88671875" style="24"/>
    <col min="4" max="5" width="8.88671875" style="25"/>
    <col min="6" max="6" width="12.5546875" style="25" customWidth="1"/>
    <col min="7" max="7" width="8.88671875" style="24"/>
    <col min="8" max="8" width="15.88671875" style="24" customWidth="1"/>
    <col min="9" max="10" width="8.88671875" style="24"/>
    <col min="11" max="11" width="21.44140625" style="24" customWidth="1"/>
    <col min="12" max="12" width="51.44140625" style="26" customWidth="1"/>
    <col min="13" max="13" width="42.88671875" style="27" customWidth="1"/>
    <col min="14" max="14" width="82.6640625" style="26" customWidth="1"/>
    <col min="15" max="15" width="55.33203125" style="28" customWidth="1"/>
    <col min="16" max="16" width="40.5546875" style="24" customWidth="1"/>
    <col min="17" max="22" width="8.6640625" style="29"/>
    <col min="23" max="23" width="11.6640625" style="29" customWidth="1"/>
    <col min="24" max="28" width="8.6640625" style="29"/>
    <col min="29" max="29" width="8.6640625" style="30"/>
    <col min="30" max="30" width="8.6640625" style="31"/>
    <col min="31" max="32" width="8.6640625" style="29"/>
    <col min="33" max="33" width="8.88671875" style="32"/>
    <col min="34" max="16384" width="8.88671875" style="26"/>
  </cols>
  <sheetData>
    <row r="1" spans="1:33" s="8" customFormat="1" ht="117" customHeight="1" x14ac:dyDescent="0.25">
      <c r="A1" s="1" t="s">
        <v>8</v>
      </c>
      <c r="B1" s="2" t="s">
        <v>9</v>
      </c>
      <c r="C1" s="1" t="s">
        <v>211</v>
      </c>
      <c r="D1" s="3" t="s">
        <v>3</v>
      </c>
      <c r="E1" s="3" t="s">
        <v>4</v>
      </c>
      <c r="F1" s="3" t="s">
        <v>289</v>
      </c>
      <c r="G1" s="2" t="s">
        <v>10</v>
      </c>
      <c r="H1" s="2" t="s">
        <v>11</v>
      </c>
      <c r="I1" s="2" t="s">
        <v>12</v>
      </c>
      <c r="J1" s="3" t="s">
        <v>210</v>
      </c>
      <c r="K1" s="2" t="s">
        <v>5</v>
      </c>
      <c r="L1" s="4" t="s">
        <v>6</v>
      </c>
      <c r="M1" s="4" t="s">
        <v>7</v>
      </c>
      <c r="N1" s="4" t="s">
        <v>13</v>
      </c>
      <c r="O1" s="2" t="s">
        <v>42</v>
      </c>
      <c r="P1" s="2" t="s">
        <v>41</v>
      </c>
      <c r="Q1" s="5" t="s">
        <v>327</v>
      </c>
      <c r="R1" s="5" t="s">
        <v>328</v>
      </c>
      <c r="S1" s="5" t="s">
        <v>329</v>
      </c>
      <c r="T1" s="5" t="s">
        <v>338</v>
      </c>
      <c r="U1" s="5" t="s">
        <v>339</v>
      </c>
      <c r="V1" s="5" t="s">
        <v>43</v>
      </c>
      <c r="W1" s="5" t="s">
        <v>14</v>
      </c>
      <c r="X1" s="5" t="s">
        <v>15</v>
      </c>
      <c r="Y1" s="5" t="s">
        <v>330</v>
      </c>
      <c r="Z1" s="5" t="s">
        <v>331</v>
      </c>
      <c r="AA1" s="5" t="s">
        <v>332</v>
      </c>
      <c r="AB1" s="5" t="s">
        <v>333</v>
      </c>
      <c r="AC1" s="6" t="s">
        <v>334</v>
      </c>
      <c r="AD1" s="7" t="s">
        <v>365</v>
      </c>
      <c r="AE1" s="5" t="s">
        <v>335</v>
      </c>
      <c r="AF1" s="5" t="s">
        <v>336</v>
      </c>
      <c r="AG1" s="2" t="s">
        <v>16</v>
      </c>
    </row>
    <row r="2" spans="1:33" s="8" customFormat="1" ht="19.95" customHeight="1" x14ac:dyDescent="0.25">
      <c r="A2" s="1" t="s">
        <v>95</v>
      </c>
      <c r="B2" s="9">
        <v>2</v>
      </c>
      <c r="C2" s="9">
        <v>57</v>
      </c>
      <c r="D2" s="10">
        <v>1.69</v>
      </c>
      <c r="E2" s="10">
        <v>67.400000000000006</v>
      </c>
      <c r="F2" s="10">
        <v>23.6</v>
      </c>
      <c r="G2" s="9">
        <v>0</v>
      </c>
      <c r="H2" s="9" t="s">
        <v>29</v>
      </c>
      <c r="I2" s="9" t="s">
        <v>206</v>
      </c>
      <c r="J2" s="11">
        <v>25</v>
      </c>
      <c r="K2" s="9" t="s">
        <v>19</v>
      </c>
      <c r="L2" s="12" t="s">
        <v>19</v>
      </c>
      <c r="M2" s="12" t="s">
        <v>25</v>
      </c>
      <c r="N2" s="13" t="s">
        <v>33</v>
      </c>
      <c r="O2" s="14" t="s">
        <v>72</v>
      </c>
      <c r="P2" s="14" t="s">
        <v>249</v>
      </c>
      <c r="Q2" s="10">
        <v>82.44</v>
      </c>
      <c r="R2" s="10">
        <v>162.36000000000001</v>
      </c>
      <c r="S2" s="10">
        <v>0.27</v>
      </c>
      <c r="T2" s="10">
        <v>0.91</v>
      </c>
      <c r="U2" s="10">
        <v>87.6</v>
      </c>
      <c r="V2" s="10">
        <v>508.8</v>
      </c>
      <c r="W2" s="10">
        <v>7.6</v>
      </c>
      <c r="X2" s="10">
        <v>14.9</v>
      </c>
      <c r="Y2" s="10">
        <v>4.07</v>
      </c>
      <c r="Z2" s="10">
        <v>0.61</v>
      </c>
      <c r="AA2" s="10">
        <v>2.2799999999999998</v>
      </c>
      <c r="AB2" s="10">
        <v>1.86</v>
      </c>
      <c r="AC2" s="15">
        <v>105</v>
      </c>
      <c r="AD2" s="16">
        <v>68</v>
      </c>
      <c r="AE2" s="10">
        <v>245</v>
      </c>
      <c r="AF2" s="10">
        <v>4.9000000000000004</v>
      </c>
      <c r="AG2" s="9" t="s">
        <v>17</v>
      </c>
    </row>
    <row r="3" spans="1:33" s="12" customFormat="1" ht="19.95" customHeight="1" x14ac:dyDescent="0.25">
      <c r="A3" s="1" t="s">
        <v>96</v>
      </c>
      <c r="B3" s="9">
        <v>1</v>
      </c>
      <c r="C3" s="9">
        <v>69</v>
      </c>
      <c r="D3" s="10">
        <v>1.45</v>
      </c>
      <c r="E3" s="10">
        <v>55.8</v>
      </c>
      <c r="F3" s="10">
        <v>26.54</v>
      </c>
      <c r="G3" s="9">
        <v>0</v>
      </c>
      <c r="H3" s="9" t="s">
        <v>29</v>
      </c>
      <c r="I3" s="9" t="s">
        <v>206</v>
      </c>
      <c r="J3" s="11">
        <v>14</v>
      </c>
      <c r="K3" s="10" t="s">
        <v>19</v>
      </c>
      <c r="L3" s="13" t="s">
        <v>19</v>
      </c>
      <c r="M3" s="13" t="s">
        <v>19</v>
      </c>
      <c r="N3" s="13" t="s">
        <v>33</v>
      </c>
      <c r="O3" s="14" t="s">
        <v>325</v>
      </c>
      <c r="P3" s="9" t="s">
        <v>213</v>
      </c>
      <c r="Q3" s="10">
        <v>137.69999999999999</v>
      </c>
      <c r="R3" s="10">
        <v>277.74</v>
      </c>
      <c r="S3" s="10">
        <v>0.64</v>
      </c>
      <c r="T3" s="10">
        <v>2.3199999999999998</v>
      </c>
      <c r="U3" s="10">
        <v>113.34</v>
      </c>
      <c r="V3" s="10">
        <v>558.9</v>
      </c>
      <c r="W3" s="10">
        <v>7.4</v>
      </c>
      <c r="X3" s="10">
        <v>15.3</v>
      </c>
      <c r="Y3" s="10">
        <v>4.3600000000000003</v>
      </c>
      <c r="Z3" s="10">
        <v>0.89</v>
      </c>
      <c r="AA3" s="10">
        <v>1.36</v>
      </c>
      <c r="AB3" s="10">
        <v>2.89</v>
      </c>
      <c r="AC3" s="15">
        <v>41</v>
      </c>
      <c r="AD3" s="16">
        <v>101</v>
      </c>
      <c r="AE3" s="10">
        <v>337</v>
      </c>
      <c r="AF3" s="10">
        <v>5.6</v>
      </c>
      <c r="AG3" s="9" t="s">
        <v>17</v>
      </c>
    </row>
    <row r="4" spans="1:33" s="12" customFormat="1" ht="19.95" customHeight="1" x14ac:dyDescent="0.25">
      <c r="A4" s="1" t="s">
        <v>97</v>
      </c>
      <c r="B4" s="9">
        <v>1</v>
      </c>
      <c r="C4" s="9">
        <v>69</v>
      </c>
      <c r="D4" s="10">
        <v>1.45</v>
      </c>
      <c r="E4" s="10">
        <v>53.2</v>
      </c>
      <c r="F4" s="10">
        <v>25.3</v>
      </c>
      <c r="G4" s="9">
        <v>0</v>
      </c>
      <c r="H4" s="9" t="s">
        <v>29</v>
      </c>
      <c r="I4" s="9" t="s">
        <v>206</v>
      </c>
      <c r="J4" s="11">
        <v>14</v>
      </c>
      <c r="K4" s="10" t="s">
        <v>19</v>
      </c>
      <c r="L4" s="13" t="s">
        <v>32</v>
      </c>
      <c r="M4" s="13" t="s">
        <v>19</v>
      </c>
      <c r="N4" s="13" t="s">
        <v>33</v>
      </c>
      <c r="O4" s="14" t="s">
        <v>326</v>
      </c>
      <c r="P4" s="9" t="s">
        <v>213</v>
      </c>
      <c r="Q4" s="10">
        <v>138.41999999999999</v>
      </c>
      <c r="R4" s="10">
        <v>277.2</v>
      </c>
      <c r="S4" s="10">
        <v>0.31</v>
      </c>
      <c r="T4" s="10">
        <v>0.97</v>
      </c>
      <c r="U4" s="10">
        <v>130.80000000000001</v>
      </c>
      <c r="V4" s="10">
        <v>249</v>
      </c>
      <c r="W4" s="10">
        <v>7.3</v>
      </c>
      <c r="X4" s="10">
        <v>17</v>
      </c>
      <c r="Y4" s="10">
        <v>4.28</v>
      </c>
      <c r="Z4" s="10">
        <v>0.93</v>
      </c>
      <c r="AA4" s="10">
        <v>1.1299999999999999</v>
      </c>
      <c r="AB4" s="10">
        <v>2.94</v>
      </c>
      <c r="AC4" s="15">
        <v>39</v>
      </c>
      <c r="AD4" s="16">
        <v>103</v>
      </c>
      <c r="AE4" s="10">
        <v>262</v>
      </c>
      <c r="AF4" s="10">
        <v>3.7</v>
      </c>
      <c r="AG4" s="9" t="s">
        <v>27</v>
      </c>
    </row>
    <row r="5" spans="1:33" s="12" customFormat="1" ht="19.95" customHeight="1" x14ac:dyDescent="0.25">
      <c r="A5" s="1" t="s">
        <v>98</v>
      </c>
      <c r="B5" s="9">
        <v>2</v>
      </c>
      <c r="C5" s="9">
        <v>57</v>
      </c>
      <c r="D5" s="10">
        <v>1.7</v>
      </c>
      <c r="E5" s="10">
        <v>70</v>
      </c>
      <c r="F5" s="10">
        <v>24.221453287197235</v>
      </c>
      <c r="G5" s="9">
        <v>30</v>
      </c>
      <c r="H5" s="9" t="s">
        <v>28</v>
      </c>
      <c r="I5" s="9" t="s">
        <v>205</v>
      </c>
      <c r="J5" s="10">
        <v>10</v>
      </c>
      <c r="K5" s="9" t="s">
        <v>19</v>
      </c>
      <c r="L5" s="12" t="s">
        <v>290</v>
      </c>
      <c r="M5" s="12" t="s">
        <v>207</v>
      </c>
      <c r="N5" s="12" t="s">
        <v>218</v>
      </c>
      <c r="O5" s="9" t="s">
        <v>350</v>
      </c>
      <c r="P5" s="9" t="s">
        <v>319</v>
      </c>
      <c r="Q5" s="10">
        <v>158.4</v>
      </c>
      <c r="R5" s="10">
        <v>442.98</v>
      </c>
      <c r="S5" s="10">
        <v>0.39</v>
      </c>
      <c r="T5" s="10">
        <v>0.68</v>
      </c>
      <c r="U5" s="10">
        <v>75.27</v>
      </c>
      <c r="V5" s="10">
        <v>233.46</v>
      </c>
      <c r="W5" s="10">
        <v>9.1999999999999993</v>
      </c>
      <c r="X5" s="10">
        <v>29.8</v>
      </c>
      <c r="Y5" s="10">
        <v>5.31</v>
      </c>
      <c r="Z5" s="10">
        <v>1.32</v>
      </c>
      <c r="AA5" s="10">
        <v>1.33</v>
      </c>
      <c r="AB5" s="10">
        <v>3.68</v>
      </c>
      <c r="AC5" s="15">
        <v>71.5</v>
      </c>
      <c r="AD5" s="16">
        <v>105</v>
      </c>
      <c r="AE5" s="10">
        <v>475.6</v>
      </c>
      <c r="AF5" s="10">
        <v>4.74</v>
      </c>
      <c r="AG5" s="9" t="s">
        <v>18</v>
      </c>
    </row>
    <row r="6" spans="1:33" s="12" customFormat="1" ht="19.95" customHeight="1" x14ac:dyDescent="0.25">
      <c r="A6" s="1" t="s">
        <v>99</v>
      </c>
      <c r="B6" s="9">
        <v>1</v>
      </c>
      <c r="C6" s="9">
        <v>58</v>
      </c>
      <c r="D6" s="10">
        <v>1.64</v>
      </c>
      <c r="E6" s="10">
        <v>62.5</v>
      </c>
      <c r="F6" s="10">
        <f>E6/D6/D6</f>
        <v>23.237656157049376</v>
      </c>
      <c r="G6" s="9">
        <v>0</v>
      </c>
      <c r="H6" s="9" t="s">
        <v>29</v>
      </c>
      <c r="I6" s="9" t="s">
        <v>205</v>
      </c>
      <c r="J6" s="10">
        <v>22</v>
      </c>
      <c r="K6" s="9" t="s">
        <v>19</v>
      </c>
      <c r="L6" s="12" t="s">
        <v>22</v>
      </c>
      <c r="M6" s="12" t="s">
        <v>39</v>
      </c>
      <c r="N6" s="12" t="s">
        <v>219</v>
      </c>
      <c r="O6" s="9" t="s">
        <v>364</v>
      </c>
      <c r="P6" s="9" t="s">
        <v>316</v>
      </c>
      <c r="Q6" s="10">
        <v>194.4</v>
      </c>
      <c r="R6" s="10">
        <v>238.5</v>
      </c>
      <c r="S6" s="10">
        <v>0.44</v>
      </c>
      <c r="T6" s="10">
        <v>0.81</v>
      </c>
      <c r="U6" s="10">
        <v>57.84</v>
      </c>
      <c r="V6" s="10">
        <v>125.57</v>
      </c>
      <c r="W6" s="10">
        <v>9.5</v>
      </c>
      <c r="X6" s="10">
        <v>19.5</v>
      </c>
      <c r="Y6" s="10">
        <v>4.7300000000000004</v>
      </c>
      <c r="Z6" s="10">
        <v>1.73</v>
      </c>
      <c r="AA6" s="10">
        <v>0.91</v>
      </c>
      <c r="AB6" s="10">
        <v>2.95</v>
      </c>
      <c r="AC6" s="15">
        <v>36.9</v>
      </c>
      <c r="AD6" s="16">
        <v>166</v>
      </c>
      <c r="AE6" s="10">
        <v>490.05</v>
      </c>
      <c r="AF6" s="10">
        <v>5.54</v>
      </c>
      <c r="AG6" s="9" t="s">
        <v>18</v>
      </c>
    </row>
    <row r="7" spans="1:33" s="12" customFormat="1" ht="19.95" customHeight="1" x14ac:dyDescent="0.25">
      <c r="A7" s="1" t="s">
        <v>100</v>
      </c>
      <c r="B7" s="9">
        <v>1</v>
      </c>
      <c r="C7" s="9">
        <v>78</v>
      </c>
      <c r="D7" s="10">
        <v>1.55</v>
      </c>
      <c r="E7" s="10">
        <v>60</v>
      </c>
      <c r="F7" s="10">
        <f>E7/D7/D7</f>
        <v>24.973985431841832</v>
      </c>
      <c r="G7" s="9">
        <v>0</v>
      </c>
      <c r="H7" s="9" t="s">
        <v>29</v>
      </c>
      <c r="I7" s="9" t="s">
        <v>205</v>
      </c>
      <c r="J7" s="10">
        <v>20</v>
      </c>
      <c r="K7" s="9" t="s">
        <v>19</v>
      </c>
      <c r="L7" s="12" t="s">
        <v>20</v>
      </c>
      <c r="M7" s="12" t="s">
        <v>19</v>
      </c>
      <c r="N7" s="12" t="s">
        <v>220</v>
      </c>
      <c r="O7" s="9" t="s">
        <v>51</v>
      </c>
      <c r="P7" s="9" t="s">
        <v>317</v>
      </c>
      <c r="Q7" s="10">
        <v>257.40000000000003</v>
      </c>
      <c r="R7" s="10">
        <v>228.06</v>
      </c>
      <c r="S7" s="10">
        <v>0.37</v>
      </c>
      <c r="T7" s="10">
        <v>0.4</v>
      </c>
      <c r="U7" s="10">
        <v>49.45</v>
      </c>
      <c r="V7" s="10">
        <v>387.04</v>
      </c>
      <c r="W7" s="10">
        <v>10.6</v>
      </c>
      <c r="X7" s="10">
        <v>38.1</v>
      </c>
      <c r="Y7" s="10">
        <v>2.63</v>
      </c>
      <c r="Z7" s="10">
        <v>1.53</v>
      </c>
      <c r="AA7" s="10">
        <v>0.71</v>
      </c>
      <c r="AB7" s="10">
        <v>1.19</v>
      </c>
      <c r="AC7" s="15">
        <v>49</v>
      </c>
      <c r="AD7" s="16">
        <v>113</v>
      </c>
      <c r="AE7" s="10">
        <v>230.09</v>
      </c>
      <c r="AF7" s="10">
        <v>3.96</v>
      </c>
      <c r="AG7" s="9" t="s">
        <v>18</v>
      </c>
    </row>
    <row r="8" spans="1:33" s="12" customFormat="1" ht="19.95" customHeight="1" x14ac:dyDescent="0.25">
      <c r="A8" s="1" t="s">
        <v>101</v>
      </c>
      <c r="B8" s="9">
        <v>1</v>
      </c>
      <c r="C8" s="9">
        <v>67</v>
      </c>
      <c r="D8" s="10">
        <v>1.6</v>
      </c>
      <c r="E8" s="10">
        <v>57.5</v>
      </c>
      <c r="F8" s="10">
        <f>E8/D8/D8</f>
        <v>22.4609375</v>
      </c>
      <c r="G8" s="9">
        <v>0</v>
      </c>
      <c r="H8" s="9" t="s">
        <v>29</v>
      </c>
      <c r="I8" s="9" t="s">
        <v>205</v>
      </c>
      <c r="J8" s="10">
        <f>2/365</f>
        <v>5.4794520547945206E-3</v>
      </c>
      <c r="K8" s="9" t="s">
        <v>19</v>
      </c>
      <c r="L8" s="12" t="s">
        <v>22</v>
      </c>
      <c r="M8" s="12" t="s">
        <v>19</v>
      </c>
      <c r="N8" s="12" t="s">
        <v>281</v>
      </c>
      <c r="O8" s="9" t="s">
        <v>340</v>
      </c>
      <c r="P8" s="9" t="s">
        <v>93</v>
      </c>
      <c r="Q8" s="10">
        <v>336.6</v>
      </c>
      <c r="R8" s="10">
        <v>585.9</v>
      </c>
      <c r="S8" s="10">
        <v>0.65</v>
      </c>
      <c r="T8" s="10">
        <v>1.1599999999999999</v>
      </c>
      <c r="U8" s="10">
        <v>89.63</v>
      </c>
      <c r="V8" s="10">
        <v>247.11</v>
      </c>
      <c r="W8" s="10">
        <v>12.7</v>
      </c>
      <c r="X8" s="10">
        <v>33.299999999999997</v>
      </c>
      <c r="Y8" s="10">
        <v>7.35</v>
      </c>
      <c r="Z8" s="10">
        <v>7.65</v>
      </c>
      <c r="AA8" s="10">
        <v>1.1100000000000001</v>
      </c>
      <c r="AB8" s="10">
        <v>4.04</v>
      </c>
      <c r="AC8" s="15">
        <v>47.8</v>
      </c>
      <c r="AD8" s="16">
        <v>120</v>
      </c>
      <c r="AE8" s="10">
        <v>320.27</v>
      </c>
      <c r="AF8" s="10">
        <v>5.9</v>
      </c>
      <c r="AG8" s="9" t="s">
        <v>18</v>
      </c>
    </row>
    <row r="9" spans="1:33" s="12" customFormat="1" ht="19.95" customHeight="1" x14ac:dyDescent="0.25">
      <c r="A9" s="1" t="s">
        <v>102</v>
      </c>
      <c r="B9" s="9">
        <v>1</v>
      </c>
      <c r="C9" s="9">
        <v>35</v>
      </c>
      <c r="D9" s="10">
        <v>1.69</v>
      </c>
      <c r="E9" s="10">
        <v>55</v>
      </c>
      <c r="F9" s="10">
        <f>E9/D9/D9</f>
        <v>19.257028815517664</v>
      </c>
      <c r="G9" s="9">
        <v>0</v>
      </c>
      <c r="H9" s="9" t="s">
        <v>29</v>
      </c>
      <c r="I9" s="9" t="s">
        <v>205</v>
      </c>
      <c r="J9" s="10">
        <v>8</v>
      </c>
      <c r="K9" s="9" t="s">
        <v>19</v>
      </c>
      <c r="L9" s="12" t="s">
        <v>19</v>
      </c>
      <c r="M9" s="12" t="s">
        <v>207</v>
      </c>
      <c r="N9" s="12" t="s">
        <v>221</v>
      </c>
      <c r="O9" s="9" t="s">
        <v>341</v>
      </c>
      <c r="P9" s="9" t="s">
        <v>94</v>
      </c>
      <c r="Q9" s="10">
        <v>156.6</v>
      </c>
      <c r="R9" s="10">
        <v>273.96000000000004</v>
      </c>
      <c r="S9" s="10">
        <v>0.28000000000000003</v>
      </c>
      <c r="T9" s="10">
        <v>0.41</v>
      </c>
      <c r="U9" s="10" t="s">
        <v>0</v>
      </c>
      <c r="V9" s="10" t="s">
        <v>0</v>
      </c>
      <c r="W9" s="10">
        <v>11.7</v>
      </c>
      <c r="X9" s="10">
        <v>32.1</v>
      </c>
      <c r="Y9" s="10">
        <v>6.19</v>
      </c>
      <c r="Z9" s="10">
        <v>2.4500000000000002</v>
      </c>
      <c r="AA9" s="10">
        <v>1.03</v>
      </c>
      <c r="AB9" s="10">
        <v>4.55</v>
      </c>
      <c r="AC9" s="15">
        <v>27.7</v>
      </c>
      <c r="AD9" s="16">
        <v>257</v>
      </c>
      <c r="AE9" s="10">
        <v>172.62</v>
      </c>
      <c r="AF9" s="10">
        <v>3.77</v>
      </c>
      <c r="AG9" s="9" t="s">
        <v>18</v>
      </c>
    </row>
    <row r="10" spans="1:33" s="12" customFormat="1" ht="19.95" customHeight="1" x14ac:dyDescent="0.25">
      <c r="A10" s="1" t="s">
        <v>103</v>
      </c>
      <c r="B10" s="9">
        <v>2</v>
      </c>
      <c r="C10" s="9">
        <v>68</v>
      </c>
      <c r="D10" s="10">
        <v>1.65</v>
      </c>
      <c r="E10" s="10">
        <v>51.5</v>
      </c>
      <c r="F10" s="10">
        <f>E10/D10/D10</f>
        <v>18.916437098255283</v>
      </c>
      <c r="G10" s="9">
        <v>11.25</v>
      </c>
      <c r="H10" s="9" t="s">
        <v>28</v>
      </c>
      <c r="I10" s="9" t="s">
        <v>205</v>
      </c>
      <c r="J10" s="10">
        <f>14/365</f>
        <v>3.8356164383561646E-2</v>
      </c>
      <c r="K10" s="9" t="s">
        <v>19</v>
      </c>
      <c r="L10" s="12" t="s">
        <v>22</v>
      </c>
      <c r="M10" s="12" t="s">
        <v>23</v>
      </c>
      <c r="N10" s="12" t="s">
        <v>2</v>
      </c>
      <c r="O10" s="9" t="s">
        <v>340</v>
      </c>
      <c r="P10" s="9" t="s">
        <v>78</v>
      </c>
      <c r="Q10" s="10">
        <v>158.4</v>
      </c>
      <c r="R10" s="10">
        <v>275.03999999999996</v>
      </c>
      <c r="S10" s="10">
        <v>0.56000000000000005</v>
      </c>
      <c r="T10" s="10">
        <v>0.48</v>
      </c>
      <c r="U10" s="10">
        <v>39.83</v>
      </c>
      <c r="V10" s="10">
        <v>41.25</v>
      </c>
      <c r="W10" s="10">
        <v>12.7</v>
      </c>
      <c r="X10" s="10" t="s">
        <v>0</v>
      </c>
      <c r="Y10" s="10">
        <v>6.29</v>
      </c>
      <c r="Z10" s="10">
        <v>1.48</v>
      </c>
      <c r="AA10" s="10">
        <v>2.56</v>
      </c>
      <c r="AB10" s="10">
        <v>3.28</v>
      </c>
      <c r="AC10" s="15">
        <v>87.2</v>
      </c>
      <c r="AD10" s="16">
        <v>80</v>
      </c>
      <c r="AE10" s="10">
        <v>202.88</v>
      </c>
      <c r="AF10" s="10">
        <v>9.51</v>
      </c>
      <c r="AG10" s="9" t="s">
        <v>18</v>
      </c>
    </row>
    <row r="11" spans="1:33" s="12" customFormat="1" ht="19.95" customHeight="1" x14ac:dyDescent="0.25">
      <c r="A11" s="1" t="s">
        <v>104</v>
      </c>
      <c r="B11" s="9">
        <v>2</v>
      </c>
      <c r="C11" s="9">
        <v>61</v>
      </c>
      <c r="D11" s="10">
        <v>1.8</v>
      </c>
      <c r="E11" s="10">
        <v>80</v>
      </c>
      <c r="F11" s="10">
        <v>24.69</v>
      </c>
      <c r="G11" s="9">
        <v>7.5</v>
      </c>
      <c r="H11" s="9" t="s">
        <v>28</v>
      </c>
      <c r="I11" s="9" t="s">
        <v>205</v>
      </c>
      <c r="J11" s="10">
        <v>12</v>
      </c>
      <c r="K11" s="9" t="s">
        <v>19</v>
      </c>
      <c r="L11" s="12" t="s">
        <v>22</v>
      </c>
      <c r="M11" s="12" t="s">
        <v>25</v>
      </c>
      <c r="N11" s="12" t="s">
        <v>219</v>
      </c>
      <c r="O11" s="9" t="s">
        <v>342</v>
      </c>
      <c r="P11" s="9" t="s">
        <v>314</v>
      </c>
      <c r="Q11" s="10">
        <v>167.4</v>
      </c>
      <c r="R11" s="10">
        <v>301.14</v>
      </c>
      <c r="S11" s="10">
        <v>0.27</v>
      </c>
      <c r="T11" s="10">
        <v>0.7</v>
      </c>
      <c r="U11" s="10">
        <v>30.99</v>
      </c>
      <c r="V11" s="10">
        <v>108.42</v>
      </c>
      <c r="W11" s="10">
        <v>8.4</v>
      </c>
      <c r="X11" s="10">
        <v>21.5</v>
      </c>
      <c r="Y11" s="10">
        <v>2.91</v>
      </c>
      <c r="Z11" s="10">
        <v>0.79</v>
      </c>
      <c r="AA11" s="10">
        <v>0.89</v>
      </c>
      <c r="AB11" s="10">
        <v>1.82</v>
      </c>
      <c r="AC11" s="15">
        <v>70</v>
      </c>
      <c r="AD11" s="16">
        <v>106</v>
      </c>
      <c r="AE11" s="10">
        <v>282.41000000000003</v>
      </c>
      <c r="AF11" s="10">
        <v>6.16</v>
      </c>
      <c r="AG11" s="9" t="s">
        <v>17</v>
      </c>
    </row>
    <row r="12" spans="1:33" s="12" customFormat="1" ht="19.95" customHeight="1" x14ac:dyDescent="0.25">
      <c r="A12" s="1" t="s">
        <v>105</v>
      </c>
      <c r="B12" s="9">
        <v>2</v>
      </c>
      <c r="C12" s="9">
        <v>64</v>
      </c>
      <c r="D12" s="10">
        <v>1.7</v>
      </c>
      <c r="E12" s="10">
        <v>67.5</v>
      </c>
      <c r="F12" s="10">
        <f>E12/D12/D12</f>
        <v>23.356401384083043</v>
      </c>
      <c r="G12" s="9">
        <v>0</v>
      </c>
      <c r="H12" s="9" t="s">
        <v>29</v>
      </c>
      <c r="I12" s="9" t="s">
        <v>205</v>
      </c>
      <c r="J12" s="10">
        <f>15/365</f>
        <v>4.1095890410958902E-2</v>
      </c>
      <c r="K12" s="9" t="s">
        <v>19</v>
      </c>
      <c r="L12" s="12" t="s">
        <v>291</v>
      </c>
      <c r="M12" s="12" t="s">
        <v>19</v>
      </c>
      <c r="N12" s="12" t="s">
        <v>222</v>
      </c>
      <c r="O12" s="9" t="s">
        <v>341</v>
      </c>
      <c r="P12" s="9" t="s">
        <v>309</v>
      </c>
      <c r="Q12" s="10">
        <v>124.2</v>
      </c>
      <c r="R12" s="10">
        <v>217.44</v>
      </c>
      <c r="S12" s="10">
        <v>0.28999999999999998</v>
      </c>
      <c r="T12" s="10">
        <v>0.87</v>
      </c>
      <c r="U12" s="10">
        <v>36.08</v>
      </c>
      <c r="V12" s="10">
        <v>446.54</v>
      </c>
      <c r="W12" s="10">
        <v>10.8</v>
      </c>
      <c r="X12" s="10">
        <v>39.799999999999997</v>
      </c>
      <c r="Y12" s="10">
        <v>3.36</v>
      </c>
      <c r="Z12" s="10">
        <v>1.55</v>
      </c>
      <c r="AA12" s="10">
        <v>0.71</v>
      </c>
      <c r="AB12" s="10">
        <v>2.19</v>
      </c>
      <c r="AC12" s="15">
        <v>47.4</v>
      </c>
      <c r="AD12" s="16">
        <v>165</v>
      </c>
      <c r="AE12" s="10">
        <v>241.6</v>
      </c>
      <c r="AF12" s="10">
        <v>1.81</v>
      </c>
      <c r="AG12" s="9" t="s">
        <v>18</v>
      </c>
    </row>
    <row r="13" spans="1:33" s="12" customFormat="1" ht="19.95" customHeight="1" x14ac:dyDescent="0.25">
      <c r="A13" s="1" t="s">
        <v>106</v>
      </c>
      <c r="B13" s="9">
        <v>2</v>
      </c>
      <c r="C13" s="9">
        <v>37</v>
      </c>
      <c r="D13" s="10">
        <v>1.64</v>
      </c>
      <c r="E13" s="10">
        <v>64</v>
      </c>
      <c r="F13" s="10">
        <f>E13/D13/D13</f>
        <v>23.795359904818561</v>
      </c>
      <c r="G13" s="9">
        <v>15</v>
      </c>
      <c r="H13" s="9" t="s">
        <v>28</v>
      </c>
      <c r="I13" s="9" t="s">
        <v>205</v>
      </c>
      <c r="J13" s="10">
        <f>7/365</f>
        <v>1.9178082191780823E-2</v>
      </c>
      <c r="K13" s="9" t="s">
        <v>19</v>
      </c>
      <c r="L13" s="12" t="s">
        <v>19</v>
      </c>
      <c r="M13" s="12" t="s">
        <v>19</v>
      </c>
      <c r="N13" s="12" t="s">
        <v>250</v>
      </c>
      <c r="O13" s="9" t="s">
        <v>341</v>
      </c>
      <c r="P13" s="9" t="s">
        <v>251</v>
      </c>
      <c r="Q13" s="10">
        <v>176.4</v>
      </c>
      <c r="R13" s="10">
        <v>395.82</v>
      </c>
      <c r="S13" s="10">
        <v>0.2</v>
      </c>
      <c r="T13" s="10">
        <v>0.85</v>
      </c>
      <c r="U13" s="10">
        <v>67.150000000000006</v>
      </c>
      <c r="V13" s="10">
        <v>262.27999999999997</v>
      </c>
      <c r="W13" s="10">
        <v>10.8</v>
      </c>
      <c r="X13" s="10">
        <v>25.4</v>
      </c>
      <c r="Y13" s="10">
        <v>6.02</v>
      </c>
      <c r="Z13" s="10">
        <v>1.65</v>
      </c>
      <c r="AA13" s="10">
        <v>1</v>
      </c>
      <c r="AB13" s="10">
        <v>4.9400000000000004</v>
      </c>
      <c r="AC13" s="15">
        <v>40</v>
      </c>
      <c r="AD13" s="16">
        <v>223</v>
      </c>
      <c r="AE13" s="10">
        <v>269.64999999999998</v>
      </c>
      <c r="AF13" s="10">
        <v>4.5</v>
      </c>
      <c r="AG13" s="9" t="s">
        <v>17</v>
      </c>
    </row>
    <row r="14" spans="1:33" s="12" customFormat="1" ht="19.95" customHeight="1" x14ac:dyDescent="0.25">
      <c r="A14" s="1" t="s">
        <v>107</v>
      </c>
      <c r="B14" s="9">
        <v>1</v>
      </c>
      <c r="C14" s="9">
        <v>56</v>
      </c>
      <c r="D14" s="10">
        <v>1.5</v>
      </c>
      <c r="E14" s="10">
        <v>52</v>
      </c>
      <c r="F14" s="10">
        <f>E14/D14/D14</f>
        <v>23.111111111111111</v>
      </c>
      <c r="G14" s="9">
        <v>0</v>
      </c>
      <c r="H14" s="9" t="s">
        <v>29</v>
      </c>
      <c r="I14" s="9" t="s">
        <v>205</v>
      </c>
      <c r="J14" s="10">
        <v>9</v>
      </c>
      <c r="K14" s="9" t="s">
        <v>19</v>
      </c>
      <c r="L14" s="12" t="s">
        <v>22</v>
      </c>
      <c r="M14" s="12" t="s">
        <v>19</v>
      </c>
      <c r="N14" s="12" t="s">
        <v>223</v>
      </c>
      <c r="O14" s="9" t="s">
        <v>343</v>
      </c>
      <c r="P14" s="9" t="s">
        <v>310</v>
      </c>
      <c r="Q14" s="10">
        <v>163.79999999999998</v>
      </c>
      <c r="R14" s="10">
        <v>171.54</v>
      </c>
      <c r="S14" s="10">
        <v>0.51</v>
      </c>
      <c r="T14" s="17" t="s">
        <v>0</v>
      </c>
      <c r="U14" s="10">
        <v>83.5</v>
      </c>
      <c r="V14" s="10">
        <v>137.74</v>
      </c>
      <c r="W14" s="10">
        <v>9.1</v>
      </c>
      <c r="X14" s="10">
        <v>20</v>
      </c>
      <c r="Y14" s="10">
        <v>5.57</v>
      </c>
      <c r="Z14" s="10">
        <v>3.69</v>
      </c>
      <c r="AA14" s="10">
        <v>0.99</v>
      </c>
      <c r="AB14" s="10">
        <v>4.4400000000000004</v>
      </c>
      <c r="AC14" s="15">
        <v>43.5</v>
      </c>
      <c r="AD14" s="16">
        <v>210</v>
      </c>
      <c r="AE14" s="10">
        <v>268.02999999999997</v>
      </c>
      <c r="AF14" s="10">
        <v>6.09</v>
      </c>
      <c r="AG14" s="9" t="s">
        <v>18</v>
      </c>
    </row>
    <row r="15" spans="1:33" s="12" customFormat="1" ht="19.95" customHeight="1" x14ac:dyDescent="0.25">
      <c r="A15" s="1" t="s">
        <v>108</v>
      </c>
      <c r="B15" s="9">
        <v>2</v>
      </c>
      <c r="C15" s="9">
        <v>62</v>
      </c>
      <c r="D15" s="10">
        <v>1.69</v>
      </c>
      <c r="E15" s="10">
        <v>100</v>
      </c>
      <c r="F15" s="10">
        <f>E15/D15/D15</f>
        <v>35.012779664577572</v>
      </c>
      <c r="G15" s="9">
        <v>7.5</v>
      </c>
      <c r="H15" s="9" t="s">
        <v>28</v>
      </c>
      <c r="I15" s="9" t="s">
        <v>205</v>
      </c>
      <c r="J15" s="10">
        <v>7</v>
      </c>
      <c r="K15" s="9" t="s">
        <v>19</v>
      </c>
      <c r="L15" s="12" t="s">
        <v>292</v>
      </c>
      <c r="M15" s="12" t="s">
        <v>23</v>
      </c>
      <c r="N15" s="12" t="s">
        <v>224</v>
      </c>
      <c r="O15" s="9" t="s">
        <v>324</v>
      </c>
      <c r="P15" s="9" t="s">
        <v>252</v>
      </c>
      <c r="Q15" s="10">
        <v>158.4</v>
      </c>
      <c r="R15" s="10">
        <v>250.2</v>
      </c>
      <c r="S15" s="10">
        <v>0.73</v>
      </c>
      <c r="T15" s="10">
        <v>1.75</v>
      </c>
      <c r="U15" s="10">
        <v>128.29</v>
      </c>
      <c r="V15" s="10">
        <v>458.48</v>
      </c>
      <c r="W15" s="10">
        <v>9</v>
      </c>
      <c r="X15" s="10">
        <v>21.1</v>
      </c>
      <c r="Y15" s="10">
        <v>3.58</v>
      </c>
      <c r="Z15" s="10">
        <v>1.5</v>
      </c>
      <c r="AA15" s="10">
        <v>0.93</v>
      </c>
      <c r="AB15" s="10">
        <v>2.33</v>
      </c>
      <c r="AC15" s="15">
        <v>86</v>
      </c>
      <c r="AD15" s="16">
        <v>83</v>
      </c>
      <c r="AE15" s="10">
        <v>345.19</v>
      </c>
      <c r="AF15" s="10">
        <v>4.4000000000000004</v>
      </c>
      <c r="AG15" s="9" t="s">
        <v>17</v>
      </c>
    </row>
    <row r="16" spans="1:33" s="12" customFormat="1" ht="19.95" customHeight="1" x14ac:dyDescent="0.25">
      <c r="A16" s="1" t="s">
        <v>109</v>
      </c>
      <c r="B16" s="9">
        <v>2</v>
      </c>
      <c r="C16" s="9">
        <v>84</v>
      </c>
      <c r="D16" s="10">
        <v>1.5</v>
      </c>
      <c r="E16" s="10">
        <v>52</v>
      </c>
      <c r="F16" s="10">
        <f>E16/D16/D16</f>
        <v>23.111111111111111</v>
      </c>
      <c r="G16" s="9">
        <v>30</v>
      </c>
      <c r="H16" s="9" t="s">
        <v>28</v>
      </c>
      <c r="I16" s="9" t="s">
        <v>205</v>
      </c>
      <c r="J16" s="10">
        <v>9</v>
      </c>
      <c r="K16" s="9" t="s">
        <v>19</v>
      </c>
      <c r="L16" s="12" t="s">
        <v>22</v>
      </c>
      <c r="M16" s="12" t="s">
        <v>23</v>
      </c>
      <c r="N16" s="12" t="s">
        <v>225</v>
      </c>
      <c r="O16" s="9" t="s">
        <v>71</v>
      </c>
      <c r="P16" s="9" t="s">
        <v>253</v>
      </c>
      <c r="Q16" s="10">
        <v>334.8</v>
      </c>
      <c r="R16" s="10">
        <v>333</v>
      </c>
      <c r="S16" s="10">
        <v>0.2</v>
      </c>
      <c r="T16" s="10">
        <v>0.67</v>
      </c>
      <c r="U16" s="10">
        <v>46.6</v>
      </c>
      <c r="V16" s="10">
        <v>307.67</v>
      </c>
      <c r="W16" s="10">
        <v>11.3</v>
      </c>
      <c r="X16" s="10">
        <v>36.299999999999997</v>
      </c>
      <c r="Y16" s="10">
        <v>3.03</v>
      </c>
      <c r="Z16" s="10">
        <v>1.8</v>
      </c>
      <c r="AA16" s="10">
        <v>0.84</v>
      </c>
      <c r="AB16" s="10">
        <v>1.8</v>
      </c>
      <c r="AC16" s="15">
        <v>58.1</v>
      </c>
      <c r="AD16" s="16">
        <v>123</v>
      </c>
      <c r="AE16" s="10">
        <v>463.68</v>
      </c>
      <c r="AF16" s="10">
        <v>5.64</v>
      </c>
      <c r="AG16" s="9" t="s">
        <v>18</v>
      </c>
    </row>
    <row r="17" spans="1:33" s="12" customFormat="1" ht="19.95" customHeight="1" x14ac:dyDescent="0.25">
      <c r="A17" s="1" t="s">
        <v>110</v>
      </c>
      <c r="B17" s="9">
        <v>1</v>
      </c>
      <c r="C17" s="9">
        <v>42</v>
      </c>
      <c r="D17" s="10">
        <v>1.57</v>
      </c>
      <c r="E17" s="10">
        <v>84.1</v>
      </c>
      <c r="F17" s="10">
        <v>34.119999999999997</v>
      </c>
      <c r="G17" s="9">
        <v>0</v>
      </c>
      <c r="H17" s="9" t="s">
        <v>29</v>
      </c>
      <c r="I17" s="9" t="s">
        <v>205</v>
      </c>
      <c r="J17" s="11">
        <v>7</v>
      </c>
      <c r="K17" s="10" t="s">
        <v>19</v>
      </c>
      <c r="L17" s="13" t="s">
        <v>19</v>
      </c>
      <c r="M17" s="13" t="s">
        <v>19</v>
      </c>
      <c r="N17" s="13" t="s">
        <v>226</v>
      </c>
      <c r="O17" s="14" t="s">
        <v>70</v>
      </c>
      <c r="P17" s="14" t="s">
        <v>280</v>
      </c>
      <c r="Q17" s="10">
        <v>101.16</v>
      </c>
      <c r="R17" s="10">
        <v>138.6</v>
      </c>
      <c r="S17" s="10">
        <v>0.6</v>
      </c>
      <c r="T17" s="10">
        <v>1</v>
      </c>
      <c r="U17" s="10">
        <v>33.24</v>
      </c>
      <c r="V17" s="10">
        <v>134.39999999999998</v>
      </c>
      <c r="W17" s="10">
        <v>8.5</v>
      </c>
      <c r="X17" s="10">
        <v>16</v>
      </c>
      <c r="Y17" s="10">
        <v>2.99</v>
      </c>
      <c r="Z17" s="10">
        <v>0.99</v>
      </c>
      <c r="AA17" s="10">
        <v>1.29</v>
      </c>
      <c r="AB17" s="10">
        <v>1.7</v>
      </c>
      <c r="AC17" s="15">
        <v>66</v>
      </c>
      <c r="AD17" s="16">
        <v>99</v>
      </c>
      <c r="AE17" s="10">
        <v>246</v>
      </c>
      <c r="AF17" s="10">
        <v>4</v>
      </c>
      <c r="AG17" s="9" t="s">
        <v>17</v>
      </c>
    </row>
    <row r="18" spans="1:33" s="8" customFormat="1" ht="19.95" customHeight="1" x14ac:dyDescent="0.25">
      <c r="A18" s="1" t="s">
        <v>111</v>
      </c>
      <c r="B18" s="9">
        <v>1</v>
      </c>
      <c r="C18" s="9">
        <v>42</v>
      </c>
      <c r="D18" s="10">
        <v>1.56</v>
      </c>
      <c r="E18" s="10">
        <v>78.8</v>
      </c>
      <c r="F18" s="10">
        <v>32.380000000000003</v>
      </c>
      <c r="G18" s="9">
        <v>0</v>
      </c>
      <c r="H18" s="9" t="s">
        <v>29</v>
      </c>
      <c r="I18" s="9" t="s">
        <v>205</v>
      </c>
      <c r="J18" s="11">
        <v>8</v>
      </c>
      <c r="K18" s="10" t="s">
        <v>19</v>
      </c>
      <c r="L18" s="13" t="s">
        <v>19</v>
      </c>
      <c r="M18" s="13" t="s">
        <v>19</v>
      </c>
      <c r="N18" s="13" t="s">
        <v>226</v>
      </c>
      <c r="O18" s="14" t="s">
        <v>70</v>
      </c>
      <c r="P18" s="14" t="s">
        <v>280</v>
      </c>
      <c r="Q18" s="10">
        <v>109.26</v>
      </c>
      <c r="R18" s="10">
        <v>180.54</v>
      </c>
      <c r="S18" s="10">
        <v>0.72</v>
      </c>
      <c r="T18" s="10">
        <v>2.17</v>
      </c>
      <c r="U18" s="10">
        <v>55.8</v>
      </c>
      <c r="V18" s="10">
        <v>285.60000000000002</v>
      </c>
      <c r="W18" s="10">
        <v>6.4</v>
      </c>
      <c r="X18" s="10">
        <v>14.6</v>
      </c>
      <c r="Y18" s="10">
        <v>2.86</v>
      </c>
      <c r="Z18" s="10">
        <v>0.78</v>
      </c>
      <c r="AA18" s="10">
        <v>1.39</v>
      </c>
      <c r="AB18" s="10">
        <v>1.47</v>
      </c>
      <c r="AC18" s="15">
        <v>63</v>
      </c>
      <c r="AD18" s="16">
        <v>104</v>
      </c>
      <c r="AE18" s="10">
        <v>311</v>
      </c>
      <c r="AF18" s="10">
        <v>3.6</v>
      </c>
      <c r="AG18" s="9" t="s">
        <v>18</v>
      </c>
    </row>
    <row r="19" spans="1:33" s="12" customFormat="1" ht="19.95" customHeight="1" x14ac:dyDescent="0.25">
      <c r="A19" s="1" t="s">
        <v>112</v>
      </c>
      <c r="B19" s="9">
        <v>2</v>
      </c>
      <c r="C19" s="9">
        <v>55</v>
      </c>
      <c r="D19" s="10">
        <v>1.66</v>
      </c>
      <c r="E19" s="10">
        <v>63</v>
      </c>
      <c r="F19" s="10">
        <v>22.86</v>
      </c>
      <c r="G19" s="9">
        <v>0</v>
      </c>
      <c r="H19" s="9" t="s">
        <v>29</v>
      </c>
      <c r="I19" s="9" t="s">
        <v>205</v>
      </c>
      <c r="J19" s="11">
        <v>4</v>
      </c>
      <c r="K19" s="10" t="s">
        <v>19</v>
      </c>
      <c r="L19" s="13" t="s">
        <v>19</v>
      </c>
      <c r="M19" s="13" t="s">
        <v>19</v>
      </c>
      <c r="N19" s="13" t="s">
        <v>19</v>
      </c>
      <c r="O19" s="14" t="s">
        <v>300</v>
      </c>
      <c r="P19" s="14" t="s">
        <v>216</v>
      </c>
      <c r="Q19" s="10">
        <v>152.28</v>
      </c>
      <c r="R19" s="10">
        <v>311.94</v>
      </c>
      <c r="S19" s="10">
        <v>0.34</v>
      </c>
      <c r="T19" s="10">
        <v>1</v>
      </c>
      <c r="U19" s="10">
        <v>16.38</v>
      </c>
      <c r="V19" s="10">
        <v>80.400000000000006</v>
      </c>
      <c r="W19" s="10">
        <v>8.1</v>
      </c>
      <c r="X19" s="10">
        <v>22.4</v>
      </c>
      <c r="Y19" s="10">
        <v>4.5199999999999996</v>
      </c>
      <c r="Z19" s="10">
        <v>1.34</v>
      </c>
      <c r="AA19" s="10">
        <v>1.33</v>
      </c>
      <c r="AB19" s="10">
        <v>3.18</v>
      </c>
      <c r="AC19" s="15">
        <v>69</v>
      </c>
      <c r="AD19" s="16">
        <v>102</v>
      </c>
      <c r="AE19" s="10">
        <v>352</v>
      </c>
      <c r="AF19" s="10">
        <v>5.5</v>
      </c>
      <c r="AG19" s="9" t="s">
        <v>18</v>
      </c>
    </row>
    <row r="20" spans="1:33" s="12" customFormat="1" ht="19.95" customHeight="1" x14ac:dyDescent="0.25">
      <c r="A20" s="1" t="s">
        <v>113</v>
      </c>
      <c r="B20" s="9">
        <v>2</v>
      </c>
      <c r="C20" s="9">
        <v>55</v>
      </c>
      <c r="D20" s="10">
        <v>1.65</v>
      </c>
      <c r="E20" s="10">
        <v>63.9</v>
      </c>
      <c r="F20" s="10">
        <v>23.47</v>
      </c>
      <c r="G20" s="9">
        <v>0</v>
      </c>
      <c r="H20" s="9" t="s">
        <v>29</v>
      </c>
      <c r="I20" s="9" t="s">
        <v>205</v>
      </c>
      <c r="J20" s="11">
        <v>4</v>
      </c>
      <c r="K20" s="10" t="s">
        <v>19</v>
      </c>
      <c r="L20" s="13" t="s">
        <v>19</v>
      </c>
      <c r="M20" s="13" t="s">
        <v>19</v>
      </c>
      <c r="N20" s="13" t="s">
        <v>19</v>
      </c>
      <c r="O20" s="14" t="s">
        <v>300</v>
      </c>
      <c r="P20" s="14" t="s">
        <v>216</v>
      </c>
      <c r="Q20" s="10">
        <v>144.36000000000001</v>
      </c>
      <c r="R20" s="10">
        <v>296.27999999999997</v>
      </c>
      <c r="S20" s="10">
        <v>0.41</v>
      </c>
      <c r="T20" s="10">
        <v>1.01</v>
      </c>
      <c r="U20" s="10">
        <v>23.04</v>
      </c>
      <c r="V20" s="10">
        <v>76.8</v>
      </c>
      <c r="W20" s="10">
        <v>8.1999999999999993</v>
      </c>
      <c r="X20" s="10">
        <v>22.5</v>
      </c>
      <c r="Y20" s="10">
        <v>5.68</v>
      </c>
      <c r="Z20" s="10">
        <v>1.38</v>
      </c>
      <c r="AA20" s="10">
        <v>1.31</v>
      </c>
      <c r="AB20" s="10">
        <v>4.18</v>
      </c>
      <c r="AC20" s="15">
        <v>63</v>
      </c>
      <c r="AD20" s="16">
        <v>106</v>
      </c>
      <c r="AE20" s="10">
        <v>352</v>
      </c>
      <c r="AF20" s="10">
        <v>5.9</v>
      </c>
      <c r="AG20" s="9" t="s">
        <v>18</v>
      </c>
    </row>
    <row r="21" spans="1:33" s="12" customFormat="1" ht="19.95" customHeight="1" x14ac:dyDescent="0.25">
      <c r="A21" s="1" t="s">
        <v>114</v>
      </c>
      <c r="B21" s="9">
        <v>1</v>
      </c>
      <c r="C21" s="9">
        <v>56</v>
      </c>
      <c r="D21" s="10">
        <v>1.65</v>
      </c>
      <c r="E21" s="10">
        <v>55</v>
      </c>
      <c r="F21" s="10">
        <v>20.202020202020201</v>
      </c>
      <c r="G21" s="9">
        <v>0</v>
      </c>
      <c r="H21" s="9" t="s">
        <v>29</v>
      </c>
      <c r="I21" s="9" t="s">
        <v>205</v>
      </c>
      <c r="J21" s="10">
        <v>1</v>
      </c>
      <c r="K21" s="10" t="s">
        <v>19</v>
      </c>
      <c r="L21" s="13" t="s">
        <v>19</v>
      </c>
      <c r="M21" s="13" t="s">
        <v>19</v>
      </c>
      <c r="N21" s="13" t="s">
        <v>19</v>
      </c>
      <c r="O21" s="14" t="s">
        <v>214</v>
      </c>
      <c r="P21" s="14" t="s">
        <v>216</v>
      </c>
      <c r="Q21" s="10">
        <v>159.84</v>
      </c>
      <c r="R21" s="10">
        <v>167.22</v>
      </c>
      <c r="S21" s="10">
        <v>0.43956000000000006</v>
      </c>
      <c r="T21" s="10" t="s">
        <v>0</v>
      </c>
      <c r="U21" s="10">
        <v>29.160000000000004</v>
      </c>
      <c r="V21" s="10" t="s">
        <v>0</v>
      </c>
      <c r="W21" s="10">
        <v>6.3</v>
      </c>
      <c r="X21" s="10">
        <v>22.1</v>
      </c>
      <c r="Y21" s="10" t="s">
        <v>0</v>
      </c>
      <c r="Z21" s="10">
        <v>0.75</v>
      </c>
      <c r="AA21" s="10">
        <v>1.77</v>
      </c>
      <c r="AB21" s="10">
        <v>3.43</v>
      </c>
      <c r="AC21" s="15">
        <v>57</v>
      </c>
      <c r="AD21" s="16" t="s">
        <v>0</v>
      </c>
      <c r="AE21" s="10">
        <v>311</v>
      </c>
      <c r="AF21" s="10">
        <v>7</v>
      </c>
      <c r="AG21" s="9" t="s">
        <v>18</v>
      </c>
    </row>
    <row r="22" spans="1:33" s="12" customFormat="1" ht="19.95" customHeight="1" x14ac:dyDescent="0.25">
      <c r="A22" s="1" t="s">
        <v>115</v>
      </c>
      <c r="B22" s="9">
        <v>1</v>
      </c>
      <c r="C22" s="9">
        <v>66</v>
      </c>
      <c r="D22" s="10">
        <v>1.53</v>
      </c>
      <c r="E22" s="10">
        <v>40</v>
      </c>
      <c r="F22" s="10">
        <v>17.08744499978641</v>
      </c>
      <c r="G22" s="9">
        <v>0</v>
      </c>
      <c r="H22" s="9" t="s">
        <v>29</v>
      </c>
      <c r="I22" s="9" t="s">
        <v>205</v>
      </c>
      <c r="J22" s="10">
        <v>1</v>
      </c>
      <c r="K22" s="10" t="s">
        <v>19</v>
      </c>
      <c r="L22" s="13" t="s">
        <v>19</v>
      </c>
      <c r="M22" s="13" t="s">
        <v>19</v>
      </c>
      <c r="N22" s="13" t="s">
        <v>38</v>
      </c>
      <c r="O22" s="14" t="s">
        <v>69</v>
      </c>
      <c r="P22" s="14" t="s">
        <v>92</v>
      </c>
      <c r="Q22" s="10">
        <v>108.72</v>
      </c>
      <c r="R22" s="10">
        <v>164.34</v>
      </c>
      <c r="S22" s="10">
        <v>0.22977</v>
      </c>
      <c r="T22" s="10" t="s">
        <v>0</v>
      </c>
      <c r="U22" s="10">
        <v>16.919999999999998</v>
      </c>
      <c r="V22" s="10" t="s">
        <v>0</v>
      </c>
      <c r="W22" s="10">
        <v>7.6</v>
      </c>
      <c r="X22" s="10">
        <v>17.100000000000001</v>
      </c>
      <c r="Y22" s="10" t="s">
        <v>0</v>
      </c>
      <c r="Z22" s="10" t="s">
        <v>0</v>
      </c>
      <c r="AA22" s="10" t="s">
        <v>0</v>
      </c>
      <c r="AB22" s="10" t="s">
        <v>0</v>
      </c>
      <c r="AC22" s="15" t="s">
        <v>0</v>
      </c>
      <c r="AD22" s="16" t="s">
        <v>0</v>
      </c>
      <c r="AE22" s="10" t="s">
        <v>0</v>
      </c>
      <c r="AF22" s="10" t="s">
        <v>0</v>
      </c>
      <c r="AG22" s="9" t="s">
        <v>18</v>
      </c>
    </row>
    <row r="23" spans="1:33" s="9" customFormat="1" ht="19.95" customHeight="1" x14ac:dyDescent="0.25">
      <c r="A23" s="1" t="s">
        <v>116</v>
      </c>
      <c r="B23" s="9">
        <v>1</v>
      </c>
      <c r="C23" s="9">
        <v>66</v>
      </c>
      <c r="D23" s="10">
        <v>1.53</v>
      </c>
      <c r="E23" s="10">
        <v>40</v>
      </c>
      <c r="F23" s="10">
        <v>17.08744499978641</v>
      </c>
      <c r="G23" s="9">
        <v>0</v>
      </c>
      <c r="H23" s="9" t="s">
        <v>29</v>
      </c>
      <c r="I23" s="9" t="s">
        <v>205</v>
      </c>
      <c r="J23" s="10">
        <v>1</v>
      </c>
      <c r="K23" s="10" t="s">
        <v>19</v>
      </c>
      <c r="L23" s="10" t="s">
        <v>19</v>
      </c>
      <c r="M23" s="10" t="s">
        <v>19</v>
      </c>
      <c r="N23" s="10" t="s">
        <v>38</v>
      </c>
      <c r="O23" s="14" t="s">
        <v>69</v>
      </c>
      <c r="P23" s="14" t="s">
        <v>92</v>
      </c>
      <c r="Q23" s="10">
        <v>108.72</v>
      </c>
      <c r="R23" s="10">
        <v>164.34</v>
      </c>
      <c r="S23" s="10">
        <v>0.22977</v>
      </c>
      <c r="T23" s="10" t="s">
        <v>0</v>
      </c>
      <c r="U23" s="10">
        <v>16.919999999999998</v>
      </c>
      <c r="V23" s="10" t="s">
        <v>0</v>
      </c>
      <c r="W23" s="10">
        <v>7.6</v>
      </c>
      <c r="X23" s="10">
        <v>17.100000000000001</v>
      </c>
      <c r="Y23" s="18" t="s">
        <v>0</v>
      </c>
      <c r="Z23" s="18" t="s">
        <v>0</v>
      </c>
      <c r="AA23" s="18" t="s">
        <v>0</v>
      </c>
      <c r="AB23" s="18" t="s">
        <v>0</v>
      </c>
      <c r="AC23" s="18" t="s">
        <v>0</v>
      </c>
      <c r="AD23" s="16" t="s">
        <v>0</v>
      </c>
      <c r="AE23" s="18" t="s">
        <v>0</v>
      </c>
      <c r="AF23" s="18" t="s">
        <v>0</v>
      </c>
      <c r="AG23" s="9" t="s">
        <v>18</v>
      </c>
    </row>
    <row r="24" spans="1:33" s="12" customFormat="1" ht="19.95" customHeight="1" x14ac:dyDescent="0.25">
      <c r="A24" s="1" t="s">
        <v>117</v>
      </c>
      <c r="B24" s="9">
        <v>1</v>
      </c>
      <c r="C24" s="9">
        <v>66</v>
      </c>
      <c r="D24" s="10">
        <v>1.6</v>
      </c>
      <c r="E24" s="10">
        <v>51</v>
      </c>
      <c r="F24" s="10">
        <v>19.921875</v>
      </c>
      <c r="G24" s="9">
        <v>0</v>
      </c>
      <c r="H24" s="9" t="s">
        <v>29</v>
      </c>
      <c r="I24" s="9" t="s">
        <v>205</v>
      </c>
      <c r="J24" s="10">
        <v>20</v>
      </c>
      <c r="K24" s="10" t="s">
        <v>19</v>
      </c>
      <c r="L24" s="13" t="s">
        <v>293</v>
      </c>
      <c r="M24" s="13" t="s">
        <v>307</v>
      </c>
      <c r="N24" s="13" t="s">
        <v>227</v>
      </c>
      <c r="O24" s="14" t="s">
        <v>204</v>
      </c>
      <c r="P24" s="9" t="s">
        <v>254</v>
      </c>
      <c r="Q24" s="10">
        <v>167.4</v>
      </c>
      <c r="R24" s="10">
        <v>167.94</v>
      </c>
      <c r="S24" s="10">
        <v>0.2</v>
      </c>
      <c r="T24" s="10">
        <v>0.19</v>
      </c>
      <c r="U24" s="10">
        <v>33.26</v>
      </c>
      <c r="V24" s="10">
        <v>34.58</v>
      </c>
      <c r="W24" s="10">
        <v>8.6999999999999993</v>
      </c>
      <c r="X24" s="10">
        <v>22.6</v>
      </c>
      <c r="Y24" s="10">
        <v>5.52</v>
      </c>
      <c r="Z24" s="10">
        <v>1.28</v>
      </c>
      <c r="AA24" s="10">
        <v>1.88</v>
      </c>
      <c r="AB24" s="10">
        <v>3.19</v>
      </c>
      <c r="AC24" s="15">
        <v>53.8</v>
      </c>
      <c r="AD24" s="16">
        <v>105</v>
      </c>
      <c r="AE24" s="10">
        <v>302.81</v>
      </c>
      <c r="AF24" s="10">
        <v>5.2</v>
      </c>
      <c r="AG24" s="9" t="s">
        <v>18</v>
      </c>
    </row>
    <row r="25" spans="1:33" s="12" customFormat="1" ht="19.95" customHeight="1" x14ac:dyDescent="0.25">
      <c r="A25" s="1" t="s">
        <v>118</v>
      </c>
      <c r="B25" s="9">
        <v>2</v>
      </c>
      <c r="C25" s="9">
        <v>66</v>
      </c>
      <c r="D25" s="10">
        <v>1.7</v>
      </c>
      <c r="E25" s="10">
        <v>71</v>
      </c>
      <c r="F25" s="10">
        <v>24.5674740484429</v>
      </c>
      <c r="G25" s="9">
        <v>0</v>
      </c>
      <c r="H25" s="9" t="s">
        <v>29</v>
      </c>
      <c r="I25" s="9" t="s">
        <v>205</v>
      </c>
      <c r="J25" s="10">
        <v>13</v>
      </c>
      <c r="K25" s="10" t="s">
        <v>19</v>
      </c>
      <c r="L25" s="13" t="s">
        <v>22</v>
      </c>
      <c r="M25" s="13" t="s">
        <v>23</v>
      </c>
      <c r="N25" s="13" t="s">
        <v>19</v>
      </c>
      <c r="O25" s="10" t="s">
        <v>51</v>
      </c>
      <c r="P25" s="14" t="s">
        <v>255</v>
      </c>
      <c r="Q25" s="10">
        <v>135</v>
      </c>
      <c r="R25" s="10">
        <v>340.02</v>
      </c>
      <c r="S25" s="10">
        <v>0.19</v>
      </c>
      <c r="T25" s="10">
        <v>0.43</v>
      </c>
      <c r="U25" s="10">
        <v>32.9</v>
      </c>
      <c r="V25" s="10">
        <v>216.86</v>
      </c>
      <c r="W25" s="10">
        <v>13.2</v>
      </c>
      <c r="X25" s="10">
        <v>35.1</v>
      </c>
      <c r="Y25" s="10">
        <v>4.24</v>
      </c>
      <c r="Z25" s="10">
        <v>1.21</v>
      </c>
      <c r="AA25" s="10">
        <v>0.89</v>
      </c>
      <c r="AB25" s="10">
        <v>2.82</v>
      </c>
      <c r="AC25" s="15">
        <v>68.900000000000006</v>
      </c>
      <c r="AD25" s="16">
        <v>106</v>
      </c>
      <c r="AE25" s="10">
        <v>328.59</v>
      </c>
      <c r="AF25" s="10">
        <v>5.6</v>
      </c>
      <c r="AG25" s="9" t="s">
        <v>18</v>
      </c>
    </row>
    <row r="26" spans="1:33" s="12" customFormat="1" ht="19.95" customHeight="1" x14ac:dyDescent="0.25">
      <c r="A26" s="1" t="s">
        <v>119</v>
      </c>
      <c r="B26" s="9">
        <v>2</v>
      </c>
      <c r="C26" s="9">
        <v>61</v>
      </c>
      <c r="D26" s="10">
        <v>1.7</v>
      </c>
      <c r="E26" s="10">
        <v>62</v>
      </c>
      <c r="F26" s="10">
        <v>21.453287197231798</v>
      </c>
      <c r="G26" s="9">
        <v>0</v>
      </c>
      <c r="H26" s="9" t="s">
        <v>29</v>
      </c>
      <c r="I26" s="9" t="s">
        <v>205</v>
      </c>
      <c r="J26" s="10">
        <v>10</v>
      </c>
      <c r="K26" s="10" t="s">
        <v>19</v>
      </c>
      <c r="L26" s="13" t="s">
        <v>22</v>
      </c>
      <c r="M26" s="13" t="s">
        <v>307</v>
      </c>
      <c r="N26" s="13" t="s">
        <v>228</v>
      </c>
      <c r="O26" s="10" t="s">
        <v>358</v>
      </c>
      <c r="P26" s="14" t="s">
        <v>256</v>
      </c>
      <c r="Q26" s="10">
        <v>120.60000000000001</v>
      </c>
      <c r="R26" s="10">
        <v>192.6</v>
      </c>
      <c r="S26" s="10">
        <v>0.19</v>
      </c>
      <c r="T26" s="10">
        <v>0.89</v>
      </c>
      <c r="U26" s="10">
        <v>113.78</v>
      </c>
      <c r="V26" s="10">
        <v>272.2</v>
      </c>
      <c r="W26" s="10">
        <v>7.1</v>
      </c>
      <c r="X26" s="10">
        <v>18.899999999999999</v>
      </c>
      <c r="Y26" s="10">
        <v>3.32</v>
      </c>
      <c r="Z26" s="10">
        <v>1.36</v>
      </c>
      <c r="AA26" s="10">
        <v>0.84</v>
      </c>
      <c r="AB26" s="10">
        <v>2.19</v>
      </c>
      <c r="AC26" s="15">
        <v>57.6</v>
      </c>
      <c r="AD26" s="16">
        <v>132</v>
      </c>
      <c r="AE26" s="10">
        <v>324.8</v>
      </c>
      <c r="AF26" s="10">
        <v>8.23</v>
      </c>
      <c r="AG26" s="9" t="s">
        <v>18</v>
      </c>
    </row>
    <row r="27" spans="1:33" s="12" customFormat="1" ht="19.95" customHeight="1" x14ac:dyDescent="0.25">
      <c r="A27" s="1" t="s">
        <v>120</v>
      </c>
      <c r="B27" s="9">
        <v>1</v>
      </c>
      <c r="C27" s="9">
        <v>78</v>
      </c>
      <c r="D27" s="10">
        <v>1.58</v>
      </c>
      <c r="E27" s="10">
        <v>47.5</v>
      </c>
      <c r="F27" s="10">
        <v>19.027399455215502</v>
      </c>
      <c r="G27" s="9">
        <v>0</v>
      </c>
      <c r="H27" s="9" t="s">
        <v>29</v>
      </c>
      <c r="I27" s="9" t="s">
        <v>205</v>
      </c>
      <c r="J27" s="10">
        <v>16</v>
      </c>
      <c r="K27" s="10" t="s">
        <v>19</v>
      </c>
      <c r="L27" s="13" t="s">
        <v>22</v>
      </c>
      <c r="M27" s="13" t="s">
        <v>19</v>
      </c>
      <c r="N27" s="13" t="s">
        <v>229</v>
      </c>
      <c r="O27" s="10" t="s">
        <v>313</v>
      </c>
      <c r="P27" s="14" t="s">
        <v>257</v>
      </c>
      <c r="Q27" s="10">
        <v>194.4</v>
      </c>
      <c r="R27" s="10">
        <v>298.08</v>
      </c>
      <c r="S27" s="10">
        <v>0.16</v>
      </c>
      <c r="T27" s="10">
        <v>0.15</v>
      </c>
      <c r="U27" s="10">
        <v>136.46</v>
      </c>
      <c r="V27" s="10">
        <v>119.42</v>
      </c>
      <c r="W27" s="10">
        <v>15.4</v>
      </c>
      <c r="X27" s="10">
        <v>50.9</v>
      </c>
      <c r="Y27" s="10">
        <v>4.51</v>
      </c>
      <c r="Z27" s="10">
        <v>0.77</v>
      </c>
      <c r="AA27" s="10">
        <v>1.29</v>
      </c>
      <c r="AB27" s="10">
        <v>2.97</v>
      </c>
      <c r="AC27" s="15">
        <v>57</v>
      </c>
      <c r="AD27" s="16">
        <v>95</v>
      </c>
      <c r="AE27" s="10">
        <v>261.3</v>
      </c>
      <c r="AF27" s="10">
        <v>7.04</v>
      </c>
      <c r="AG27" s="9" t="s">
        <v>18</v>
      </c>
    </row>
    <row r="28" spans="1:33" s="12" customFormat="1" ht="19.95" customHeight="1" x14ac:dyDescent="0.25">
      <c r="A28" s="1" t="s">
        <v>121</v>
      </c>
      <c r="B28" s="9">
        <v>2</v>
      </c>
      <c r="C28" s="9">
        <v>47</v>
      </c>
      <c r="D28" s="10">
        <v>1.74</v>
      </c>
      <c r="E28" s="10">
        <v>71</v>
      </c>
      <c r="F28" s="10">
        <v>23.450918219051299</v>
      </c>
      <c r="G28" s="9">
        <v>30</v>
      </c>
      <c r="H28" s="9" t="s">
        <v>29</v>
      </c>
      <c r="I28" s="9" t="s">
        <v>205</v>
      </c>
      <c r="J28" s="10">
        <v>4</v>
      </c>
      <c r="K28" s="10" t="s">
        <v>19</v>
      </c>
      <c r="L28" s="13" t="s">
        <v>22</v>
      </c>
      <c r="M28" s="13" t="s">
        <v>19</v>
      </c>
      <c r="N28" s="13" t="s">
        <v>230</v>
      </c>
      <c r="O28" s="14" t="s">
        <v>356</v>
      </c>
      <c r="P28" s="14" t="s">
        <v>269</v>
      </c>
      <c r="Q28" s="10">
        <v>124.2</v>
      </c>
      <c r="R28" s="10">
        <v>251.1</v>
      </c>
      <c r="S28" s="10">
        <v>0.11</v>
      </c>
      <c r="T28" s="10">
        <v>0.56000000000000005</v>
      </c>
      <c r="U28" s="10">
        <v>345.12</v>
      </c>
      <c r="V28" s="10">
        <v>353.5</v>
      </c>
      <c r="W28" s="10">
        <v>8.5</v>
      </c>
      <c r="X28" s="10">
        <v>17.899999999999999</v>
      </c>
      <c r="Y28" s="10">
        <v>5.15</v>
      </c>
      <c r="Z28" s="10">
        <v>3.3</v>
      </c>
      <c r="AA28" s="10">
        <v>0.83</v>
      </c>
      <c r="AB28" s="10">
        <v>3.08</v>
      </c>
      <c r="AC28" s="15">
        <v>72.400000000000006</v>
      </c>
      <c r="AD28" s="16">
        <v>107</v>
      </c>
      <c r="AE28" s="10">
        <v>437.72</v>
      </c>
      <c r="AF28" s="10">
        <v>6.9</v>
      </c>
      <c r="AG28" s="9" t="s">
        <v>18</v>
      </c>
    </row>
    <row r="29" spans="1:33" s="12" customFormat="1" ht="19.95" customHeight="1" x14ac:dyDescent="0.25">
      <c r="A29" s="1" t="s">
        <v>122</v>
      </c>
      <c r="B29" s="9">
        <v>1</v>
      </c>
      <c r="C29" s="9">
        <v>72</v>
      </c>
      <c r="D29" s="10">
        <v>1.49</v>
      </c>
      <c r="E29" s="10">
        <v>52</v>
      </c>
      <c r="F29" s="10">
        <v>23.422368361785502</v>
      </c>
      <c r="G29" s="9">
        <v>0</v>
      </c>
      <c r="H29" s="9" t="s">
        <v>29</v>
      </c>
      <c r="I29" s="9" t="s">
        <v>205</v>
      </c>
      <c r="J29" s="10">
        <v>4</v>
      </c>
      <c r="K29" s="10" t="s">
        <v>19</v>
      </c>
      <c r="L29" s="13" t="s">
        <v>22</v>
      </c>
      <c r="M29" s="13" t="s">
        <v>19</v>
      </c>
      <c r="N29" s="13" t="s">
        <v>231</v>
      </c>
      <c r="O29" s="10" t="s">
        <v>298</v>
      </c>
      <c r="P29" s="14" t="s">
        <v>258</v>
      </c>
      <c r="Q29" s="10">
        <v>198</v>
      </c>
      <c r="R29" s="10" t="s">
        <v>0</v>
      </c>
      <c r="S29" s="10">
        <v>0.5</v>
      </c>
      <c r="T29" s="10">
        <v>0.99</v>
      </c>
      <c r="U29" s="10" t="s">
        <v>0</v>
      </c>
      <c r="V29" s="10" t="s">
        <v>0</v>
      </c>
      <c r="W29" s="10">
        <v>11.8</v>
      </c>
      <c r="X29" s="10" t="s">
        <v>0</v>
      </c>
      <c r="Y29" s="10">
        <v>5.45</v>
      </c>
      <c r="Z29" s="10">
        <v>2.2400000000000002</v>
      </c>
      <c r="AA29" s="10">
        <v>1</v>
      </c>
      <c r="AB29" s="10">
        <v>3.67</v>
      </c>
      <c r="AC29" s="15">
        <v>53.3</v>
      </c>
      <c r="AD29" s="16">
        <v>104</v>
      </c>
      <c r="AE29" s="10">
        <v>328.23</v>
      </c>
      <c r="AF29" s="10">
        <v>6.94</v>
      </c>
      <c r="AG29" s="9" t="s">
        <v>18</v>
      </c>
    </row>
    <row r="30" spans="1:33" s="12" customFormat="1" ht="19.95" customHeight="1" x14ac:dyDescent="0.25">
      <c r="A30" s="1" t="s">
        <v>123</v>
      </c>
      <c r="B30" s="9">
        <v>1</v>
      </c>
      <c r="C30" s="9">
        <v>67</v>
      </c>
      <c r="D30" s="10">
        <v>1.62</v>
      </c>
      <c r="E30" s="10">
        <v>60</v>
      </c>
      <c r="F30" s="10">
        <v>22.8623685413808</v>
      </c>
      <c r="G30" s="9">
        <v>0</v>
      </c>
      <c r="H30" s="9" t="s">
        <v>29</v>
      </c>
      <c r="I30" s="9" t="s">
        <v>205</v>
      </c>
      <c r="J30" s="10">
        <v>20</v>
      </c>
      <c r="K30" s="10" t="s">
        <v>19</v>
      </c>
      <c r="L30" s="13" t="s">
        <v>22</v>
      </c>
      <c r="M30" s="13" t="s">
        <v>307</v>
      </c>
      <c r="N30" s="13" t="s">
        <v>232</v>
      </c>
      <c r="O30" s="14" t="s">
        <v>313</v>
      </c>
      <c r="P30" s="14" t="s">
        <v>270</v>
      </c>
      <c r="Q30" s="10">
        <v>199.79999999999998</v>
      </c>
      <c r="R30" s="10">
        <v>304.38</v>
      </c>
      <c r="S30" s="10">
        <v>0.23</v>
      </c>
      <c r="T30" s="10">
        <v>0.28999999999999998</v>
      </c>
      <c r="U30" s="10">
        <v>55.95</v>
      </c>
      <c r="V30" s="10">
        <v>234.13</v>
      </c>
      <c r="W30" s="10">
        <v>14.7</v>
      </c>
      <c r="X30" s="10">
        <v>28.2</v>
      </c>
      <c r="Y30" s="10">
        <v>5.96</v>
      </c>
      <c r="Z30" s="10">
        <v>1.44</v>
      </c>
      <c r="AA30" s="10">
        <v>1.35</v>
      </c>
      <c r="AB30" s="10">
        <v>3.62</v>
      </c>
      <c r="AC30" s="15">
        <v>56.3</v>
      </c>
      <c r="AD30" s="16">
        <v>99</v>
      </c>
      <c r="AE30" s="10">
        <v>187.89</v>
      </c>
      <c r="AF30" s="10">
        <v>7.44</v>
      </c>
      <c r="AG30" s="9" t="s">
        <v>18</v>
      </c>
    </row>
    <row r="31" spans="1:33" s="12" customFormat="1" ht="19.95" customHeight="1" x14ac:dyDescent="0.25">
      <c r="A31" s="1" t="s">
        <v>124</v>
      </c>
      <c r="B31" s="9">
        <v>2</v>
      </c>
      <c r="C31" s="9">
        <v>63</v>
      </c>
      <c r="D31" s="10">
        <v>1.78</v>
      </c>
      <c r="E31" s="10">
        <v>69</v>
      </c>
      <c r="F31" s="10">
        <v>21.777553339224799</v>
      </c>
      <c r="G31" s="9">
        <v>60</v>
      </c>
      <c r="H31" s="9" t="s">
        <v>28</v>
      </c>
      <c r="I31" s="9" t="s">
        <v>205</v>
      </c>
      <c r="J31" s="10">
        <v>20</v>
      </c>
      <c r="K31" s="10" t="s">
        <v>19</v>
      </c>
      <c r="L31" s="13" t="s">
        <v>20</v>
      </c>
      <c r="M31" s="13" t="s">
        <v>24</v>
      </c>
      <c r="N31" s="13" t="s">
        <v>19</v>
      </c>
      <c r="O31" s="9" t="s">
        <v>359</v>
      </c>
      <c r="P31" s="14" t="s">
        <v>259</v>
      </c>
      <c r="Q31" s="10">
        <v>232.20000000000002</v>
      </c>
      <c r="R31" s="10">
        <v>225.71999999999997</v>
      </c>
      <c r="S31" s="10">
        <v>0.42</v>
      </c>
      <c r="T31" s="10">
        <v>0.19</v>
      </c>
      <c r="U31" s="10" t="s">
        <v>0</v>
      </c>
      <c r="V31" s="10" t="s">
        <v>0</v>
      </c>
      <c r="W31" s="10">
        <v>13.8</v>
      </c>
      <c r="X31" s="10">
        <v>38.1</v>
      </c>
      <c r="Y31" s="10">
        <v>3.68</v>
      </c>
      <c r="Z31" s="10">
        <v>1.1200000000000001</v>
      </c>
      <c r="AA31" s="10">
        <v>1.1599999999999999</v>
      </c>
      <c r="AB31" s="10">
        <v>2.19</v>
      </c>
      <c r="AC31" s="15">
        <v>45.3</v>
      </c>
      <c r="AD31" s="16">
        <v>174</v>
      </c>
      <c r="AE31" s="10">
        <v>207.92</v>
      </c>
      <c r="AF31" s="10">
        <v>5.46</v>
      </c>
      <c r="AG31" s="9" t="s">
        <v>18</v>
      </c>
    </row>
    <row r="32" spans="1:33" s="12" customFormat="1" ht="19.95" customHeight="1" x14ac:dyDescent="0.25">
      <c r="A32" s="1" t="s">
        <v>125</v>
      </c>
      <c r="B32" s="9">
        <v>1</v>
      </c>
      <c r="C32" s="9">
        <v>58</v>
      </c>
      <c r="D32" s="10">
        <v>1.66</v>
      </c>
      <c r="E32" s="10">
        <v>53</v>
      </c>
      <c r="F32" s="10">
        <v>19.2335607490201</v>
      </c>
      <c r="G32" s="9">
        <v>0</v>
      </c>
      <c r="H32" s="9" t="s">
        <v>29</v>
      </c>
      <c r="I32" s="9" t="s">
        <v>205</v>
      </c>
      <c r="J32" s="10">
        <v>0.16666666666666599</v>
      </c>
      <c r="K32" s="10" t="s">
        <v>19</v>
      </c>
      <c r="L32" s="13" t="s">
        <v>22</v>
      </c>
      <c r="M32" s="13" t="s">
        <v>19</v>
      </c>
      <c r="N32" s="13" t="s">
        <v>34</v>
      </c>
      <c r="O32" s="14" t="s">
        <v>357</v>
      </c>
      <c r="P32" s="14" t="s">
        <v>79</v>
      </c>
      <c r="Q32" s="10">
        <v>216</v>
      </c>
      <c r="R32" s="10">
        <v>403.38</v>
      </c>
      <c r="S32" s="10">
        <v>0.41</v>
      </c>
      <c r="T32" s="10">
        <v>0.74</v>
      </c>
      <c r="U32" s="10">
        <v>38.69</v>
      </c>
      <c r="V32" s="10">
        <v>203.52</v>
      </c>
      <c r="W32" s="10">
        <v>13.6</v>
      </c>
      <c r="X32" s="10">
        <v>39.5</v>
      </c>
      <c r="Y32" s="10">
        <v>5.2</v>
      </c>
      <c r="Z32" s="10">
        <v>1.24</v>
      </c>
      <c r="AA32" s="10">
        <v>1.22</v>
      </c>
      <c r="AB32" s="10">
        <v>3.36</v>
      </c>
      <c r="AC32" s="15">
        <v>62.8</v>
      </c>
      <c r="AD32" s="16">
        <v>90</v>
      </c>
      <c r="AE32" s="10">
        <v>175.34</v>
      </c>
      <c r="AF32" s="10">
        <v>4.96</v>
      </c>
      <c r="AG32" s="9" t="s">
        <v>18</v>
      </c>
    </row>
    <row r="33" spans="1:33" s="8" customFormat="1" ht="19.95" customHeight="1" x14ac:dyDescent="0.25">
      <c r="A33" s="1" t="s">
        <v>126</v>
      </c>
      <c r="B33" s="9">
        <v>2</v>
      </c>
      <c r="C33" s="9">
        <v>71</v>
      </c>
      <c r="D33" s="10">
        <v>1.78</v>
      </c>
      <c r="E33" s="10">
        <v>87</v>
      </c>
      <c r="F33" s="10">
        <v>27.458654210326898</v>
      </c>
      <c r="G33" s="9">
        <v>0</v>
      </c>
      <c r="H33" s="9" t="s">
        <v>29</v>
      </c>
      <c r="I33" s="9" t="s">
        <v>205</v>
      </c>
      <c r="J33" s="10">
        <v>5</v>
      </c>
      <c r="K33" s="10" t="s">
        <v>19</v>
      </c>
      <c r="L33" s="13" t="s">
        <v>294</v>
      </c>
      <c r="M33" s="13" t="s">
        <v>307</v>
      </c>
      <c r="N33" s="19" t="s">
        <v>282</v>
      </c>
      <c r="O33" s="10" t="s">
        <v>301</v>
      </c>
      <c r="P33" s="14" t="s">
        <v>260</v>
      </c>
      <c r="Q33" s="10">
        <v>165.6</v>
      </c>
      <c r="R33" s="10">
        <v>228.96</v>
      </c>
      <c r="S33" s="10">
        <v>0.47</v>
      </c>
      <c r="T33" s="10">
        <v>0.88</v>
      </c>
      <c r="U33" s="10">
        <v>86.21</v>
      </c>
      <c r="V33" s="10">
        <v>293.13</v>
      </c>
      <c r="W33" s="10">
        <v>9.3000000000000007</v>
      </c>
      <c r="X33" s="10">
        <v>24.7</v>
      </c>
      <c r="Y33" s="10">
        <v>5.97</v>
      </c>
      <c r="Z33" s="10">
        <v>2.98</v>
      </c>
      <c r="AA33" s="10">
        <v>1.18</v>
      </c>
      <c r="AB33" s="10">
        <v>3.87</v>
      </c>
      <c r="AC33" s="15">
        <v>82.6</v>
      </c>
      <c r="AD33" s="16">
        <v>85</v>
      </c>
      <c r="AE33" s="10">
        <v>282.08</v>
      </c>
      <c r="AF33" s="10">
        <v>7.55</v>
      </c>
      <c r="AG33" s="9" t="s">
        <v>18</v>
      </c>
    </row>
    <row r="34" spans="1:33" s="12" customFormat="1" ht="19.95" customHeight="1" x14ac:dyDescent="0.25">
      <c r="A34" s="1" t="s">
        <v>127</v>
      </c>
      <c r="B34" s="9">
        <v>2</v>
      </c>
      <c r="C34" s="9">
        <v>66</v>
      </c>
      <c r="D34" s="10">
        <v>1.74</v>
      </c>
      <c r="E34" s="10">
        <v>68</v>
      </c>
      <c r="F34" s="10">
        <v>22.460034350640701</v>
      </c>
      <c r="G34" s="9">
        <v>80</v>
      </c>
      <c r="H34" s="9" t="s">
        <v>28</v>
      </c>
      <c r="I34" s="9" t="s">
        <v>205</v>
      </c>
      <c r="J34" s="10">
        <v>10</v>
      </c>
      <c r="K34" s="10" t="s">
        <v>19</v>
      </c>
      <c r="L34" s="13" t="s">
        <v>291</v>
      </c>
      <c r="M34" s="13" t="s">
        <v>212</v>
      </c>
      <c r="N34" s="13" t="s">
        <v>233</v>
      </c>
      <c r="O34" s="10" t="s">
        <v>344</v>
      </c>
      <c r="P34" s="14" t="s">
        <v>261</v>
      </c>
      <c r="Q34" s="10">
        <v>160.20000000000002</v>
      </c>
      <c r="R34" s="10">
        <v>240.29999999999998</v>
      </c>
      <c r="S34" s="10">
        <v>0.56999999999999995</v>
      </c>
      <c r="T34" s="10">
        <v>0.7</v>
      </c>
      <c r="U34" s="10" t="s">
        <v>0</v>
      </c>
      <c r="V34" s="10" t="s">
        <v>0</v>
      </c>
      <c r="W34" s="10">
        <v>12.7</v>
      </c>
      <c r="X34" s="10">
        <v>31.1</v>
      </c>
      <c r="Y34" s="10">
        <v>6.25</v>
      </c>
      <c r="Z34" s="10">
        <v>2.59</v>
      </c>
      <c r="AA34" s="10">
        <v>0.92</v>
      </c>
      <c r="AB34" s="10">
        <v>4.21</v>
      </c>
      <c r="AC34" s="15">
        <v>118</v>
      </c>
      <c r="AD34" s="16">
        <v>57</v>
      </c>
      <c r="AE34" s="10">
        <v>470.11</v>
      </c>
      <c r="AF34" s="10">
        <v>10.48</v>
      </c>
      <c r="AG34" s="9" t="s">
        <v>18</v>
      </c>
    </row>
    <row r="35" spans="1:33" s="12" customFormat="1" ht="19.95" customHeight="1" x14ac:dyDescent="0.25">
      <c r="A35" s="1" t="s">
        <v>128</v>
      </c>
      <c r="B35" s="9">
        <v>2</v>
      </c>
      <c r="C35" s="9">
        <v>63</v>
      </c>
      <c r="D35" s="10">
        <v>1.82</v>
      </c>
      <c r="E35" s="10">
        <v>82</v>
      </c>
      <c r="F35" s="10">
        <v>24.755464315903801</v>
      </c>
      <c r="G35" s="9">
        <v>30</v>
      </c>
      <c r="H35" s="9" t="s">
        <v>28</v>
      </c>
      <c r="I35" s="9" t="s">
        <v>205</v>
      </c>
      <c r="J35" s="10">
        <v>8</v>
      </c>
      <c r="K35" s="10" t="s">
        <v>19</v>
      </c>
      <c r="L35" s="13" t="s">
        <v>22</v>
      </c>
      <c r="M35" s="13" t="s">
        <v>212</v>
      </c>
      <c r="N35" s="13" t="s">
        <v>234</v>
      </c>
      <c r="O35" s="10" t="s">
        <v>345</v>
      </c>
      <c r="P35" s="9" t="s">
        <v>262</v>
      </c>
      <c r="Q35" s="10">
        <v>140.4</v>
      </c>
      <c r="R35" s="10">
        <v>259.56</v>
      </c>
      <c r="S35" s="10">
        <v>0.18</v>
      </c>
      <c r="T35" s="10">
        <v>0.43</v>
      </c>
      <c r="U35" s="10" t="s">
        <v>0</v>
      </c>
      <c r="V35" s="10" t="s">
        <v>0</v>
      </c>
      <c r="W35" s="10">
        <v>8.1999999999999993</v>
      </c>
      <c r="X35" s="20">
        <v>30</v>
      </c>
      <c r="Y35" s="10">
        <v>4.13</v>
      </c>
      <c r="Z35" s="10">
        <v>1.71</v>
      </c>
      <c r="AA35" s="10">
        <v>1.29</v>
      </c>
      <c r="AB35" s="10">
        <v>1.94</v>
      </c>
      <c r="AC35" s="15">
        <v>57.2</v>
      </c>
      <c r="AD35" s="16">
        <v>133</v>
      </c>
      <c r="AE35" s="10">
        <v>250.15</v>
      </c>
      <c r="AF35" s="10">
        <v>5.58</v>
      </c>
      <c r="AG35" s="9" t="s">
        <v>18</v>
      </c>
    </row>
    <row r="36" spans="1:33" s="12" customFormat="1" ht="19.95" customHeight="1" x14ac:dyDescent="0.25">
      <c r="A36" s="1" t="s">
        <v>129</v>
      </c>
      <c r="B36" s="9">
        <v>2</v>
      </c>
      <c r="C36" s="9">
        <v>68</v>
      </c>
      <c r="D36" s="10">
        <v>1.73</v>
      </c>
      <c r="E36" s="10">
        <v>76</v>
      </c>
      <c r="F36" s="10">
        <v>25.393431120317999</v>
      </c>
      <c r="G36" s="9">
        <v>5</v>
      </c>
      <c r="H36" s="9" t="s">
        <v>29</v>
      </c>
      <c r="I36" s="9" t="s">
        <v>205</v>
      </c>
      <c r="J36" s="10">
        <v>20</v>
      </c>
      <c r="K36" s="10" t="s">
        <v>19</v>
      </c>
      <c r="L36" s="13" t="s">
        <v>293</v>
      </c>
      <c r="M36" s="13" t="s">
        <v>23</v>
      </c>
      <c r="N36" s="13" t="s">
        <v>235</v>
      </c>
      <c r="O36" s="10" t="s">
        <v>346</v>
      </c>
      <c r="P36" s="9" t="s">
        <v>271</v>
      </c>
      <c r="Q36" s="10">
        <v>111.60000000000001</v>
      </c>
      <c r="R36" s="10">
        <v>221.94</v>
      </c>
      <c r="S36" s="10">
        <v>0.21</v>
      </c>
      <c r="T36" s="10">
        <v>0.27</v>
      </c>
      <c r="U36" s="10" t="s">
        <v>0</v>
      </c>
      <c r="V36" s="10" t="s">
        <v>0</v>
      </c>
      <c r="W36" s="10">
        <v>13.2</v>
      </c>
      <c r="X36" s="10">
        <v>42.2</v>
      </c>
      <c r="Y36" s="10">
        <v>4.53</v>
      </c>
      <c r="Z36" s="10">
        <v>2.0299999999999998</v>
      </c>
      <c r="AA36" s="10">
        <v>0.77</v>
      </c>
      <c r="AB36" s="10">
        <v>2.92</v>
      </c>
      <c r="AC36" s="15">
        <v>83.7</v>
      </c>
      <c r="AD36" s="16">
        <v>84</v>
      </c>
      <c r="AE36" s="10">
        <v>547.9</v>
      </c>
      <c r="AF36" s="10">
        <v>6.59</v>
      </c>
      <c r="AG36" s="9" t="s">
        <v>18</v>
      </c>
    </row>
    <row r="37" spans="1:33" s="21" customFormat="1" ht="19.95" customHeight="1" x14ac:dyDescent="0.25">
      <c r="A37" s="1" t="s">
        <v>130</v>
      </c>
      <c r="B37" s="9">
        <v>2</v>
      </c>
      <c r="C37" s="9">
        <v>63</v>
      </c>
      <c r="D37" s="10">
        <v>1.75</v>
      </c>
      <c r="E37" s="10">
        <v>64</v>
      </c>
      <c r="F37" s="10">
        <v>20.8979591836734</v>
      </c>
      <c r="G37" s="9">
        <v>8</v>
      </c>
      <c r="H37" s="9" t="s">
        <v>29</v>
      </c>
      <c r="I37" s="9" t="s">
        <v>205</v>
      </c>
      <c r="J37" s="10">
        <v>20</v>
      </c>
      <c r="K37" s="10" t="s">
        <v>19</v>
      </c>
      <c r="L37" s="13" t="s">
        <v>293</v>
      </c>
      <c r="M37" s="13" t="s">
        <v>23</v>
      </c>
      <c r="N37" s="13" t="s">
        <v>33</v>
      </c>
      <c r="O37" s="10" t="s">
        <v>347</v>
      </c>
      <c r="P37" s="9" t="s">
        <v>263</v>
      </c>
      <c r="Q37" s="10">
        <v>183.6</v>
      </c>
      <c r="R37" s="10">
        <v>316.08</v>
      </c>
      <c r="S37" s="10">
        <v>0.15</v>
      </c>
      <c r="T37" s="10">
        <v>0.3</v>
      </c>
      <c r="U37" s="10">
        <v>61.61</v>
      </c>
      <c r="V37" s="10">
        <v>141.31</v>
      </c>
      <c r="W37" s="10">
        <v>12.1</v>
      </c>
      <c r="X37" s="10">
        <v>37.200000000000003</v>
      </c>
      <c r="Y37" s="10">
        <v>3.34</v>
      </c>
      <c r="Z37" s="10">
        <v>0.67</v>
      </c>
      <c r="AA37" s="10">
        <v>1.1399999999999999</v>
      </c>
      <c r="AB37" s="10">
        <v>1.72</v>
      </c>
      <c r="AC37" s="15">
        <v>63.8</v>
      </c>
      <c r="AD37" s="16">
        <v>145</v>
      </c>
      <c r="AE37" s="10">
        <v>283.01</v>
      </c>
      <c r="AF37" s="10">
        <v>6.86</v>
      </c>
      <c r="AG37" s="9" t="s">
        <v>18</v>
      </c>
    </row>
    <row r="38" spans="1:33" s="12" customFormat="1" ht="19.95" customHeight="1" x14ac:dyDescent="0.25">
      <c r="A38" s="1" t="s">
        <v>131</v>
      </c>
      <c r="B38" s="9">
        <v>2</v>
      </c>
      <c r="C38" s="9">
        <v>47</v>
      </c>
      <c r="D38" s="10">
        <v>1.78</v>
      </c>
      <c r="E38" s="10">
        <v>80</v>
      </c>
      <c r="F38" s="10">
        <v>25.2493372048983</v>
      </c>
      <c r="G38" s="9">
        <v>3</v>
      </c>
      <c r="H38" s="9" t="s">
        <v>28</v>
      </c>
      <c r="I38" s="9" t="s">
        <v>205</v>
      </c>
      <c r="J38" s="10">
        <v>1.3698630136986301E-2</v>
      </c>
      <c r="K38" s="10" t="s">
        <v>19</v>
      </c>
      <c r="L38" s="13" t="s">
        <v>19</v>
      </c>
      <c r="M38" s="13" t="s">
        <v>23</v>
      </c>
      <c r="N38" s="13" t="s">
        <v>236</v>
      </c>
      <c r="O38" s="10" t="s">
        <v>299</v>
      </c>
      <c r="P38" s="9" t="s">
        <v>264</v>
      </c>
      <c r="Q38" s="10">
        <v>198</v>
      </c>
      <c r="R38" s="10">
        <v>361.26</v>
      </c>
      <c r="S38" s="10">
        <v>0.9</v>
      </c>
      <c r="T38" s="10">
        <v>1</v>
      </c>
      <c r="U38" s="10">
        <v>119.81</v>
      </c>
      <c r="V38" s="10">
        <v>157.4</v>
      </c>
      <c r="W38" s="10">
        <v>10.5</v>
      </c>
      <c r="X38" s="10">
        <v>23.7</v>
      </c>
      <c r="Y38" s="10">
        <v>5.87</v>
      </c>
      <c r="Z38" s="10">
        <v>2.31</v>
      </c>
      <c r="AA38" s="10">
        <v>1.31</v>
      </c>
      <c r="AB38" s="10">
        <v>3.8</v>
      </c>
      <c r="AC38" s="15">
        <v>62.8</v>
      </c>
      <c r="AD38" s="16">
        <v>126</v>
      </c>
      <c r="AE38" s="10">
        <v>291.87</v>
      </c>
      <c r="AF38" s="10">
        <v>5.19</v>
      </c>
      <c r="AG38" s="9" t="s">
        <v>18</v>
      </c>
    </row>
    <row r="39" spans="1:33" s="12" customFormat="1" ht="19.95" customHeight="1" x14ac:dyDescent="0.25">
      <c r="A39" s="1" t="s">
        <v>132</v>
      </c>
      <c r="B39" s="9">
        <v>2</v>
      </c>
      <c r="C39" s="9">
        <v>38</v>
      </c>
      <c r="D39" s="10">
        <v>1.7</v>
      </c>
      <c r="E39" s="10">
        <v>92.5</v>
      </c>
      <c r="F39" s="10">
        <v>32.006920415224897</v>
      </c>
      <c r="G39" s="9">
        <v>30</v>
      </c>
      <c r="H39" s="9" t="s">
        <v>29</v>
      </c>
      <c r="I39" s="9" t="s">
        <v>205</v>
      </c>
      <c r="J39" s="10">
        <v>2</v>
      </c>
      <c r="K39" s="10" t="s">
        <v>19</v>
      </c>
      <c r="L39" s="13" t="s">
        <v>20</v>
      </c>
      <c r="M39" s="13" t="s">
        <v>23</v>
      </c>
      <c r="N39" s="13" t="s">
        <v>33</v>
      </c>
      <c r="O39" s="10" t="s">
        <v>348</v>
      </c>
      <c r="P39" s="9" t="s">
        <v>272</v>
      </c>
      <c r="Q39" s="10">
        <v>214.20000000000002</v>
      </c>
      <c r="R39" s="10">
        <v>329.76</v>
      </c>
      <c r="S39" s="10">
        <v>0.26</v>
      </c>
      <c r="T39" s="10">
        <v>0.55000000000000004</v>
      </c>
      <c r="U39" s="10">
        <v>140.54</v>
      </c>
      <c r="V39" s="10">
        <v>211.51</v>
      </c>
      <c r="W39" s="10">
        <v>11.4</v>
      </c>
      <c r="X39" s="10">
        <v>29.5</v>
      </c>
      <c r="Y39" s="10">
        <v>6.71</v>
      </c>
      <c r="Z39" s="10">
        <v>3.97</v>
      </c>
      <c r="AA39" s="10">
        <v>0.91</v>
      </c>
      <c r="AB39" s="10">
        <v>3.83</v>
      </c>
      <c r="AC39" s="15">
        <v>60.2</v>
      </c>
      <c r="AD39" s="16">
        <v>139</v>
      </c>
      <c r="AE39" s="10">
        <v>419.13</v>
      </c>
      <c r="AF39" s="10">
        <v>5.2</v>
      </c>
      <c r="AG39" s="9" t="s">
        <v>18</v>
      </c>
    </row>
    <row r="40" spans="1:33" s="12" customFormat="1" ht="19.95" customHeight="1" x14ac:dyDescent="0.25">
      <c r="A40" s="1" t="s">
        <v>133</v>
      </c>
      <c r="B40" s="9">
        <v>2</v>
      </c>
      <c r="C40" s="9">
        <v>54</v>
      </c>
      <c r="D40" s="10">
        <v>1.73</v>
      </c>
      <c r="E40" s="10">
        <v>72</v>
      </c>
      <c r="F40" s="10">
        <v>24.056934745564501</v>
      </c>
      <c r="G40" s="9">
        <v>0.25</v>
      </c>
      <c r="H40" s="9" t="s">
        <v>29</v>
      </c>
      <c r="I40" s="9" t="s">
        <v>205</v>
      </c>
      <c r="J40" s="10">
        <v>2</v>
      </c>
      <c r="K40" s="10" t="s">
        <v>19</v>
      </c>
      <c r="L40" s="13" t="s">
        <v>22</v>
      </c>
      <c r="M40" s="13" t="s">
        <v>23</v>
      </c>
      <c r="N40" s="13" t="s">
        <v>237</v>
      </c>
      <c r="O40" s="10" t="s">
        <v>355</v>
      </c>
      <c r="P40" s="9" t="s">
        <v>76</v>
      </c>
      <c r="Q40" s="10">
        <v>167.4</v>
      </c>
      <c r="R40" s="10">
        <v>165.6</v>
      </c>
      <c r="S40" s="10">
        <v>0.37</v>
      </c>
      <c r="T40" s="10">
        <v>0.89</v>
      </c>
      <c r="U40" s="10">
        <v>104.42</v>
      </c>
      <c r="V40" s="10">
        <v>375.11</v>
      </c>
      <c r="W40" s="10">
        <v>10.199999999999999</v>
      </c>
      <c r="X40" s="10">
        <v>34.6</v>
      </c>
      <c r="Y40" s="10">
        <v>2.5099999999999998</v>
      </c>
      <c r="Z40" s="10">
        <v>1.1499999999999999</v>
      </c>
      <c r="AA40" s="10">
        <v>0.94</v>
      </c>
      <c r="AB40" s="10">
        <v>1.1399999999999999</v>
      </c>
      <c r="AC40" s="15">
        <v>63.6</v>
      </c>
      <c r="AD40" s="16">
        <v>121</v>
      </c>
      <c r="AE40" s="10">
        <v>313.49</v>
      </c>
      <c r="AF40" s="10">
        <v>5.33</v>
      </c>
      <c r="AG40" s="9" t="s">
        <v>18</v>
      </c>
    </row>
    <row r="41" spans="1:33" s="12" customFormat="1" ht="19.95" customHeight="1" x14ac:dyDescent="0.25">
      <c r="A41" s="1" t="s">
        <v>134</v>
      </c>
      <c r="B41" s="9">
        <v>2</v>
      </c>
      <c r="C41" s="9">
        <v>78</v>
      </c>
      <c r="D41" s="10">
        <v>1.66</v>
      </c>
      <c r="E41" s="10">
        <v>67</v>
      </c>
      <c r="F41" s="10">
        <v>24.3141239657424</v>
      </c>
      <c r="G41" s="9">
        <v>0</v>
      </c>
      <c r="H41" s="9" t="s">
        <v>28</v>
      </c>
      <c r="I41" s="9" t="s">
        <v>205</v>
      </c>
      <c r="J41" s="10">
        <v>20</v>
      </c>
      <c r="K41" s="10" t="s">
        <v>19</v>
      </c>
      <c r="L41" s="13" t="s">
        <v>22</v>
      </c>
      <c r="M41" s="13" t="s">
        <v>23</v>
      </c>
      <c r="N41" s="13" t="s">
        <v>33</v>
      </c>
      <c r="O41" s="10" t="s">
        <v>361</v>
      </c>
      <c r="P41" s="14" t="s">
        <v>80</v>
      </c>
      <c r="Q41" s="10">
        <v>133.19999999999999</v>
      </c>
      <c r="R41" s="10">
        <v>330.12</v>
      </c>
      <c r="S41" s="10">
        <v>0.48</v>
      </c>
      <c r="T41" s="10">
        <v>0.92</v>
      </c>
      <c r="U41" s="10">
        <v>2089.8000000000002</v>
      </c>
      <c r="V41" s="10">
        <v>2089.8000000000002</v>
      </c>
      <c r="W41" s="10">
        <v>11.3</v>
      </c>
      <c r="X41" s="10">
        <v>27.4</v>
      </c>
      <c r="Y41" s="10">
        <v>6.66</v>
      </c>
      <c r="Z41" s="10">
        <v>3.06</v>
      </c>
      <c r="AA41" s="10">
        <v>0.85</v>
      </c>
      <c r="AB41" s="10">
        <v>5.07</v>
      </c>
      <c r="AC41" s="15">
        <v>122.3</v>
      </c>
      <c r="AD41" s="16">
        <v>53</v>
      </c>
      <c r="AE41" s="10">
        <v>398.46</v>
      </c>
      <c r="AF41" s="10">
        <v>7.77</v>
      </c>
      <c r="AG41" s="9" t="s">
        <v>26</v>
      </c>
    </row>
    <row r="42" spans="1:33" s="12" customFormat="1" ht="19.95" customHeight="1" x14ac:dyDescent="0.25">
      <c r="A42" s="1" t="s">
        <v>135</v>
      </c>
      <c r="B42" s="9">
        <v>2</v>
      </c>
      <c r="C42" s="9">
        <v>22</v>
      </c>
      <c r="D42" s="10">
        <v>1.88</v>
      </c>
      <c r="E42" s="10">
        <v>87.5</v>
      </c>
      <c r="F42" s="10">
        <v>24.756677229515599</v>
      </c>
      <c r="G42" s="9">
        <v>0</v>
      </c>
      <c r="H42" s="9" t="s">
        <v>29</v>
      </c>
      <c r="I42" s="9" t="s">
        <v>205</v>
      </c>
      <c r="J42" s="10">
        <v>8</v>
      </c>
      <c r="K42" s="10" t="s">
        <v>19</v>
      </c>
      <c r="L42" s="13" t="s">
        <v>19</v>
      </c>
      <c r="M42" s="13" t="s">
        <v>19</v>
      </c>
      <c r="N42" s="13" t="s">
        <v>238</v>
      </c>
      <c r="O42" s="10" t="s">
        <v>351</v>
      </c>
      <c r="P42" s="14" t="s">
        <v>81</v>
      </c>
      <c r="Q42" s="10">
        <v>207</v>
      </c>
      <c r="R42" s="10">
        <v>314.28000000000003</v>
      </c>
      <c r="S42" s="10">
        <v>0.38</v>
      </c>
      <c r="T42" s="10">
        <v>0.56000000000000005</v>
      </c>
      <c r="U42" s="10" t="s">
        <v>0</v>
      </c>
      <c r="V42" s="10" t="s">
        <v>0</v>
      </c>
      <c r="W42" s="10">
        <v>10.9</v>
      </c>
      <c r="X42" s="10">
        <v>28.6</v>
      </c>
      <c r="Y42" s="10">
        <v>6.07</v>
      </c>
      <c r="Z42" s="10">
        <v>3.89</v>
      </c>
      <c r="AA42" s="10">
        <v>0.86</v>
      </c>
      <c r="AB42" s="10">
        <v>3.96</v>
      </c>
      <c r="AC42" s="15">
        <v>40.5</v>
      </c>
      <c r="AD42" s="16">
        <v>247</v>
      </c>
      <c r="AE42" s="10">
        <v>363.7</v>
      </c>
      <c r="AF42" s="10">
        <v>3.35</v>
      </c>
      <c r="AG42" s="9" t="s">
        <v>18</v>
      </c>
    </row>
    <row r="43" spans="1:33" s="12" customFormat="1" ht="19.95" customHeight="1" x14ac:dyDescent="0.25">
      <c r="A43" s="1" t="s">
        <v>139</v>
      </c>
      <c r="B43" s="9">
        <v>2</v>
      </c>
      <c r="C43" s="9">
        <v>49</v>
      </c>
      <c r="D43" s="10">
        <v>1.63</v>
      </c>
      <c r="E43" s="10">
        <v>65</v>
      </c>
      <c r="F43" s="10">
        <v>24.464601603372348</v>
      </c>
      <c r="G43" s="9">
        <v>0</v>
      </c>
      <c r="H43" s="9" t="s">
        <v>29</v>
      </c>
      <c r="I43" s="9" t="s">
        <v>205</v>
      </c>
      <c r="J43" s="10">
        <v>0.1</v>
      </c>
      <c r="K43" s="10" t="s">
        <v>19</v>
      </c>
      <c r="L43" s="13" t="s">
        <v>19</v>
      </c>
      <c r="M43" s="13" t="s">
        <v>19</v>
      </c>
      <c r="N43" s="13" t="s">
        <v>19</v>
      </c>
      <c r="O43" s="14" t="s">
        <v>46</v>
      </c>
      <c r="P43" s="14" t="s">
        <v>216</v>
      </c>
      <c r="Q43" s="10">
        <v>140.94</v>
      </c>
      <c r="R43" s="10">
        <v>196.92</v>
      </c>
      <c r="S43" s="10">
        <v>0.62604000000000004</v>
      </c>
      <c r="T43" s="10" t="s">
        <v>0</v>
      </c>
      <c r="U43" s="10">
        <v>46.56</v>
      </c>
      <c r="V43" s="10" t="s">
        <v>0</v>
      </c>
      <c r="W43" s="10">
        <v>7.3</v>
      </c>
      <c r="X43" s="10">
        <v>18.2</v>
      </c>
      <c r="Y43" s="10" t="s">
        <v>0</v>
      </c>
      <c r="Z43" s="10" t="s">
        <v>0</v>
      </c>
      <c r="AA43" s="10" t="s">
        <v>0</v>
      </c>
      <c r="AB43" s="10" t="s">
        <v>0</v>
      </c>
      <c r="AC43" s="15" t="s">
        <v>0</v>
      </c>
      <c r="AD43" s="16" t="s">
        <v>0</v>
      </c>
      <c r="AE43" s="10" t="s">
        <v>0</v>
      </c>
      <c r="AF43" s="10" t="s">
        <v>0</v>
      </c>
      <c r="AG43" s="9" t="s">
        <v>18</v>
      </c>
    </row>
    <row r="44" spans="1:33" s="12" customFormat="1" ht="19.95" customHeight="1" x14ac:dyDescent="0.25">
      <c r="A44" s="1" t="s">
        <v>136</v>
      </c>
      <c r="B44" s="9">
        <v>2</v>
      </c>
      <c r="C44" s="9">
        <v>46</v>
      </c>
      <c r="D44" s="10">
        <v>1.72</v>
      </c>
      <c r="E44" s="10">
        <v>60</v>
      </c>
      <c r="F44" s="10">
        <v>20.2812330989724</v>
      </c>
      <c r="G44" s="9">
        <v>30</v>
      </c>
      <c r="H44" s="9" t="s">
        <v>28</v>
      </c>
      <c r="I44" s="9" t="s">
        <v>205</v>
      </c>
      <c r="J44" s="10">
        <v>1</v>
      </c>
      <c r="K44" s="10" t="s">
        <v>19</v>
      </c>
      <c r="L44" s="13" t="s">
        <v>22</v>
      </c>
      <c r="M44" s="13" t="s">
        <v>24</v>
      </c>
      <c r="N44" s="13" t="s">
        <v>239</v>
      </c>
      <c r="O44" s="9" t="s">
        <v>357</v>
      </c>
      <c r="P44" s="14" t="s">
        <v>265</v>
      </c>
      <c r="Q44" s="10">
        <v>275.40000000000003</v>
      </c>
      <c r="R44" s="10">
        <v>427.86</v>
      </c>
      <c r="S44" s="10">
        <v>0.53</v>
      </c>
      <c r="T44" s="10">
        <v>0.54</v>
      </c>
      <c r="U44" s="10">
        <v>53.27</v>
      </c>
      <c r="V44" s="10">
        <v>59.72</v>
      </c>
      <c r="W44" s="10">
        <v>11.4</v>
      </c>
      <c r="X44" s="10">
        <v>29.3</v>
      </c>
      <c r="Y44" s="10">
        <v>4.01</v>
      </c>
      <c r="Z44" s="10">
        <v>1.61</v>
      </c>
      <c r="AA44" s="10">
        <v>0.69</v>
      </c>
      <c r="AB44" s="10">
        <v>2.92</v>
      </c>
      <c r="AC44" s="15">
        <v>60.6</v>
      </c>
      <c r="AD44" s="16">
        <v>133</v>
      </c>
      <c r="AE44" s="10">
        <v>494</v>
      </c>
      <c r="AF44" s="10">
        <v>6.32</v>
      </c>
      <c r="AG44" s="9" t="s">
        <v>18</v>
      </c>
    </row>
    <row r="45" spans="1:33" s="12" customFormat="1" ht="19.95" customHeight="1" x14ac:dyDescent="0.25">
      <c r="A45" s="1" t="s">
        <v>137</v>
      </c>
      <c r="B45" s="9">
        <v>1</v>
      </c>
      <c r="C45" s="9">
        <v>50</v>
      </c>
      <c r="D45" s="10">
        <v>1.57</v>
      </c>
      <c r="E45" s="10">
        <v>63</v>
      </c>
      <c r="F45" s="10">
        <v>25.5588462006572</v>
      </c>
      <c r="G45" s="9">
        <v>0</v>
      </c>
      <c r="H45" s="9" t="s">
        <v>29</v>
      </c>
      <c r="I45" s="9" t="s">
        <v>205</v>
      </c>
      <c r="J45" s="10">
        <v>8</v>
      </c>
      <c r="K45" s="10" t="s">
        <v>19</v>
      </c>
      <c r="L45" s="13" t="s">
        <v>22</v>
      </c>
      <c r="M45" s="13" t="s">
        <v>19</v>
      </c>
      <c r="N45" s="13" t="s">
        <v>19</v>
      </c>
      <c r="O45" s="9" t="s">
        <v>341</v>
      </c>
      <c r="P45" s="14" t="s">
        <v>77</v>
      </c>
      <c r="Q45" s="10">
        <v>187.20000000000002</v>
      </c>
      <c r="R45" s="10">
        <v>323.28000000000003</v>
      </c>
      <c r="S45" s="10">
        <v>0.28999999999999998</v>
      </c>
      <c r="T45" s="10">
        <v>0.92</v>
      </c>
      <c r="U45" s="10" t="s">
        <v>0</v>
      </c>
      <c r="V45" s="10" t="s">
        <v>0</v>
      </c>
      <c r="W45" s="10">
        <v>7.4</v>
      </c>
      <c r="X45" s="10">
        <v>19.8</v>
      </c>
      <c r="Y45" s="10">
        <v>4.6100000000000003</v>
      </c>
      <c r="Z45" s="10">
        <v>0.82</v>
      </c>
      <c r="AA45" s="10">
        <v>1.03</v>
      </c>
      <c r="AB45" s="10">
        <v>3.27</v>
      </c>
      <c r="AC45" s="15">
        <v>31</v>
      </c>
      <c r="AD45" s="16">
        <v>210</v>
      </c>
      <c r="AE45" s="10">
        <v>135.94999999999999</v>
      </c>
      <c r="AF45" s="10">
        <v>2.68</v>
      </c>
      <c r="AG45" s="9" t="s">
        <v>18</v>
      </c>
    </row>
    <row r="46" spans="1:33" s="12" customFormat="1" ht="19.95" customHeight="1" x14ac:dyDescent="0.25">
      <c r="A46" s="1" t="s">
        <v>138</v>
      </c>
      <c r="B46" s="9">
        <v>1</v>
      </c>
      <c r="C46" s="9">
        <v>58</v>
      </c>
      <c r="D46" s="10">
        <v>1.66</v>
      </c>
      <c r="E46" s="10">
        <v>65.5</v>
      </c>
      <c r="F46" s="10">
        <v>23.769777906807899</v>
      </c>
      <c r="G46" s="9">
        <v>0</v>
      </c>
      <c r="H46" s="9" t="s">
        <v>29</v>
      </c>
      <c r="I46" s="9" t="s">
        <v>205</v>
      </c>
      <c r="J46" s="10">
        <v>1.9178082191780799E-2</v>
      </c>
      <c r="K46" s="10" t="s">
        <v>19</v>
      </c>
      <c r="L46" s="13" t="s">
        <v>19</v>
      </c>
      <c r="M46" s="13" t="s">
        <v>19</v>
      </c>
      <c r="N46" s="13" t="s">
        <v>283</v>
      </c>
      <c r="O46" s="10" t="s">
        <v>360</v>
      </c>
      <c r="P46" s="14" t="s">
        <v>266</v>
      </c>
      <c r="Q46" s="10">
        <v>356.40000000000003</v>
      </c>
      <c r="R46" s="10">
        <v>610.37999999999988</v>
      </c>
      <c r="S46" s="10">
        <v>0.48</v>
      </c>
      <c r="T46" s="10">
        <v>0.42</v>
      </c>
      <c r="U46" s="10">
        <v>52.87</v>
      </c>
      <c r="V46" s="10">
        <v>50.03</v>
      </c>
      <c r="W46" s="10">
        <v>9.8000000000000007</v>
      </c>
      <c r="X46" s="10">
        <v>29.6</v>
      </c>
      <c r="Y46" s="10">
        <v>5.09</v>
      </c>
      <c r="Z46" s="10">
        <v>1.43</v>
      </c>
      <c r="AA46" s="10">
        <v>1.1000000000000001</v>
      </c>
      <c r="AB46" s="10">
        <v>3.56</v>
      </c>
      <c r="AC46" s="15">
        <v>41.1</v>
      </c>
      <c r="AD46" s="16">
        <v>146</v>
      </c>
      <c r="AE46" s="10">
        <v>273.3</v>
      </c>
      <c r="AF46" s="10">
        <v>3.33</v>
      </c>
      <c r="AG46" s="9" t="s">
        <v>18</v>
      </c>
    </row>
    <row r="47" spans="1:33" s="12" customFormat="1" ht="19.95" customHeight="1" x14ac:dyDescent="0.25">
      <c r="A47" s="1" t="s">
        <v>140</v>
      </c>
      <c r="B47" s="9">
        <v>2</v>
      </c>
      <c r="C47" s="9">
        <v>71</v>
      </c>
      <c r="D47" s="10">
        <v>1.7</v>
      </c>
      <c r="E47" s="10">
        <v>77</v>
      </c>
      <c r="F47" s="10">
        <v>26.6435986159169</v>
      </c>
      <c r="G47" s="9">
        <v>10</v>
      </c>
      <c r="H47" s="9" t="s">
        <v>29</v>
      </c>
      <c r="I47" s="9" t="s">
        <v>205</v>
      </c>
      <c r="J47" s="10">
        <v>20</v>
      </c>
      <c r="K47" s="10" t="s">
        <v>19</v>
      </c>
      <c r="L47" s="13" t="s">
        <v>22</v>
      </c>
      <c r="M47" s="13" t="s">
        <v>306</v>
      </c>
      <c r="N47" s="13" t="s">
        <v>284</v>
      </c>
      <c r="O47" s="14" t="s">
        <v>362</v>
      </c>
      <c r="P47" s="14" t="s">
        <v>273</v>
      </c>
      <c r="Q47" s="10">
        <v>158.4</v>
      </c>
      <c r="R47" s="10">
        <v>315.90000000000003</v>
      </c>
      <c r="S47" s="10">
        <v>0.26</v>
      </c>
      <c r="T47" s="10">
        <v>0.76</v>
      </c>
      <c r="U47" s="10">
        <v>38.31</v>
      </c>
      <c r="V47" s="10">
        <v>212.14</v>
      </c>
      <c r="W47" s="10">
        <v>10.7</v>
      </c>
      <c r="X47" s="10">
        <v>33.9</v>
      </c>
      <c r="Y47" s="10">
        <v>5.41</v>
      </c>
      <c r="Z47" s="10">
        <v>1.22</v>
      </c>
      <c r="AA47" s="10">
        <v>0.97</v>
      </c>
      <c r="AB47" s="10">
        <v>3.91</v>
      </c>
      <c r="AC47" s="15">
        <v>54.4</v>
      </c>
      <c r="AD47" s="16">
        <v>137</v>
      </c>
      <c r="AE47" s="10">
        <v>247.74</v>
      </c>
      <c r="AF47" s="10">
        <v>5.94</v>
      </c>
      <c r="AG47" s="9" t="s">
        <v>18</v>
      </c>
    </row>
    <row r="48" spans="1:33" s="12" customFormat="1" ht="19.95" customHeight="1" x14ac:dyDescent="0.25">
      <c r="A48" s="1" t="s">
        <v>141</v>
      </c>
      <c r="B48" s="9">
        <v>1</v>
      </c>
      <c r="C48" s="9">
        <v>40</v>
      </c>
      <c r="D48" s="10">
        <v>1.65</v>
      </c>
      <c r="E48" s="10">
        <v>100</v>
      </c>
      <c r="F48" s="10">
        <v>36.730945821854903</v>
      </c>
      <c r="G48" s="9">
        <v>0</v>
      </c>
      <c r="H48" s="9" t="s">
        <v>29</v>
      </c>
      <c r="I48" s="9" t="s">
        <v>205</v>
      </c>
      <c r="J48" s="10">
        <v>13</v>
      </c>
      <c r="K48" s="10" t="s">
        <v>19</v>
      </c>
      <c r="L48" s="13" t="s">
        <v>19</v>
      </c>
      <c r="M48" s="13" t="s">
        <v>19</v>
      </c>
      <c r="N48" s="19" t="s">
        <v>240</v>
      </c>
      <c r="O48" s="10" t="s">
        <v>363</v>
      </c>
      <c r="P48" s="14" t="s">
        <v>82</v>
      </c>
      <c r="Q48" s="10">
        <v>338.93999999999994</v>
      </c>
      <c r="R48" s="10">
        <v>315.90000000000003</v>
      </c>
      <c r="S48" s="10">
        <v>0.47</v>
      </c>
      <c r="T48" s="10">
        <v>0.77</v>
      </c>
      <c r="U48" s="10" t="s">
        <v>0</v>
      </c>
      <c r="V48" s="10" t="s">
        <v>0</v>
      </c>
      <c r="W48" s="10">
        <v>11.7</v>
      </c>
      <c r="X48" s="10">
        <v>30.9</v>
      </c>
      <c r="Y48" s="10">
        <v>5.21</v>
      </c>
      <c r="Z48" s="10">
        <v>1.81</v>
      </c>
      <c r="AA48" s="10">
        <v>1.03</v>
      </c>
      <c r="AB48" s="10">
        <v>3.89</v>
      </c>
      <c r="AC48" s="15">
        <v>52.4</v>
      </c>
      <c r="AD48" s="16">
        <v>119</v>
      </c>
      <c r="AE48" s="10">
        <v>355.96</v>
      </c>
      <c r="AF48" s="10">
        <v>5.49</v>
      </c>
      <c r="AG48" s="9" t="s">
        <v>18</v>
      </c>
    </row>
    <row r="49" spans="1:33" s="12" customFormat="1" ht="19.95" customHeight="1" x14ac:dyDescent="0.25">
      <c r="A49" s="1" t="s">
        <v>142</v>
      </c>
      <c r="B49" s="9">
        <v>1</v>
      </c>
      <c r="C49" s="9">
        <v>61</v>
      </c>
      <c r="D49" s="10">
        <v>1.6</v>
      </c>
      <c r="E49" s="10">
        <v>57</v>
      </c>
      <c r="F49" s="10">
        <v>22.265625</v>
      </c>
      <c r="G49" s="9">
        <v>0</v>
      </c>
      <c r="H49" s="9" t="s">
        <v>29</v>
      </c>
      <c r="I49" s="9" t="s">
        <v>205</v>
      </c>
      <c r="J49" s="10">
        <v>8.3333333333333301E-2</v>
      </c>
      <c r="K49" s="10" t="s">
        <v>19</v>
      </c>
      <c r="L49" s="13" t="s">
        <v>19</v>
      </c>
      <c r="M49" s="13" t="s">
        <v>19</v>
      </c>
      <c r="N49" s="13" t="s">
        <v>241</v>
      </c>
      <c r="O49" s="10" t="s">
        <v>352</v>
      </c>
      <c r="P49" s="14" t="s">
        <v>83</v>
      </c>
      <c r="Q49" s="10">
        <v>275.40000000000003</v>
      </c>
      <c r="R49" s="10">
        <v>487.43999999999994</v>
      </c>
      <c r="S49" s="10">
        <v>0.26</v>
      </c>
      <c r="T49" s="10">
        <v>0.38</v>
      </c>
      <c r="U49" s="10">
        <v>23.07</v>
      </c>
      <c r="V49" s="10">
        <v>66.849999999999994</v>
      </c>
      <c r="W49" s="10">
        <v>13.5</v>
      </c>
      <c r="X49" s="10">
        <v>40.9</v>
      </c>
      <c r="Y49" s="10">
        <v>3.61</v>
      </c>
      <c r="Z49" s="10">
        <v>1.06</v>
      </c>
      <c r="AA49" s="10">
        <v>1.38</v>
      </c>
      <c r="AB49" s="10">
        <v>1.67</v>
      </c>
      <c r="AC49" s="15">
        <v>48.5</v>
      </c>
      <c r="AD49" s="16">
        <v>120</v>
      </c>
      <c r="AE49" s="10">
        <v>298.35000000000002</v>
      </c>
      <c r="AF49" s="10">
        <v>5.36</v>
      </c>
      <c r="AG49" s="9" t="s">
        <v>18</v>
      </c>
    </row>
    <row r="50" spans="1:33" s="8" customFormat="1" ht="19.95" customHeight="1" x14ac:dyDescent="0.25">
      <c r="A50" s="1" t="s">
        <v>143</v>
      </c>
      <c r="B50" s="9">
        <v>1</v>
      </c>
      <c r="C50" s="9">
        <v>71</v>
      </c>
      <c r="D50" s="10">
        <v>1.48</v>
      </c>
      <c r="E50" s="10">
        <v>50</v>
      </c>
      <c r="F50" s="10">
        <v>22.826880934988999</v>
      </c>
      <c r="G50" s="9">
        <v>0</v>
      </c>
      <c r="H50" s="9" t="s">
        <v>29</v>
      </c>
      <c r="I50" s="9" t="s">
        <v>205</v>
      </c>
      <c r="J50" s="10">
        <v>30</v>
      </c>
      <c r="K50" s="10" t="s">
        <v>19</v>
      </c>
      <c r="L50" s="13" t="s">
        <v>22</v>
      </c>
      <c r="M50" s="13" t="s">
        <v>23</v>
      </c>
      <c r="N50" s="13" t="s">
        <v>285</v>
      </c>
      <c r="O50" s="14" t="s">
        <v>349</v>
      </c>
      <c r="P50" s="14" t="s">
        <v>84</v>
      </c>
      <c r="Q50" s="10">
        <v>55.800000000000004</v>
      </c>
      <c r="R50" s="10">
        <v>210.96</v>
      </c>
      <c r="S50" s="10">
        <v>0.04</v>
      </c>
      <c r="T50" s="10">
        <v>0.26</v>
      </c>
      <c r="U50" s="10">
        <v>934.34</v>
      </c>
      <c r="V50" s="10">
        <v>920.8</v>
      </c>
      <c r="W50" s="10">
        <v>7.6</v>
      </c>
      <c r="X50" s="10">
        <v>22.4</v>
      </c>
      <c r="Y50" s="10">
        <v>6.12</v>
      </c>
      <c r="Z50" s="10">
        <v>1.05</v>
      </c>
      <c r="AA50" s="10">
        <v>1.47</v>
      </c>
      <c r="AB50" s="10">
        <v>4.1100000000000003</v>
      </c>
      <c r="AC50" s="15">
        <v>73.3</v>
      </c>
      <c r="AD50" s="16">
        <v>72</v>
      </c>
      <c r="AE50" s="10">
        <v>383.92</v>
      </c>
      <c r="AF50" s="10">
        <v>10.33</v>
      </c>
      <c r="AG50" s="9" t="s">
        <v>18</v>
      </c>
    </row>
    <row r="51" spans="1:33" s="22" customFormat="1" ht="19.95" customHeight="1" x14ac:dyDescent="0.25">
      <c r="A51" s="1" t="s">
        <v>144</v>
      </c>
      <c r="B51" s="9">
        <v>2</v>
      </c>
      <c r="C51" s="9">
        <v>69</v>
      </c>
      <c r="D51" s="10">
        <v>1.57</v>
      </c>
      <c r="E51" s="10">
        <v>60</v>
      </c>
      <c r="F51" s="10">
        <v>24.34175828634022</v>
      </c>
      <c r="G51" s="9">
        <v>0</v>
      </c>
      <c r="H51" s="9" t="s">
        <v>29</v>
      </c>
      <c r="I51" s="9" t="s">
        <v>205</v>
      </c>
      <c r="J51" s="10">
        <v>8</v>
      </c>
      <c r="K51" s="10" t="s">
        <v>19</v>
      </c>
      <c r="L51" s="13" t="s">
        <v>19</v>
      </c>
      <c r="M51" s="13" t="s">
        <v>19</v>
      </c>
      <c r="N51" s="13" t="s">
        <v>19</v>
      </c>
      <c r="O51" s="14" t="s">
        <v>215</v>
      </c>
      <c r="P51" s="14" t="s">
        <v>216</v>
      </c>
      <c r="Q51" s="10">
        <v>197.28</v>
      </c>
      <c r="R51" s="10">
        <v>367.38</v>
      </c>
      <c r="S51" s="10" t="s">
        <v>0</v>
      </c>
      <c r="T51" s="10" t="s">
        <v>0</v>
      </c>
      <c r="U51" s="10" t="s">
        <v>0</v>
      </c>
      <c r="V51" s="10" t="s">
        <v>0</v>
      </c>
      <c r="W51" s="10">
        <v>8.4</v>
      </c>
      <c r="X51" s="10" t="s">
        <v>0</v>
      </c>
      <c r="Y51" s="10" t="s">
        <v>0</v>
      </c>
      <c r="Z51" s="10" t="s">
        <v>0</v>
      </c>
      <c r="AA51" s="10" t="s">
        <v>0</v>
      </c>
      <c r="AB51" s="10" t="s">
        <v>0</v>
      </c>
      <c r="AC51" s="15">
        <v>74</v>
      </c>
      <c r="AD51" s="16">
        <v>72</v>
      </c>
      <c r="AE51" s="10">
        <v>338</v>
      </c>
      <c r="AF51" s="10" t="s">
        <v>0</v>
      </c>
      <c r="AG51" s="9" t="s">
        <v>18</v>
      </c>
    </row>
    <row r="52" spans="1:33" s="22" customFormat="1" ht="19.95" customHeight="1" x14ac:dyDescent="0.25">
      <c r="A52" s="1" t="s">
        <v>146</v>
      </c>
      <c r="B52" s="9">
        <v>2</v>
      </c>
      <c r="C52" s="9">
        <v>37</v>
      </c>
      <c r="D52" s="10">
        <v>1.78</v>
      </c>
      <c r="E52" s="10">
        <v>80</v>
      </c>
      <c r="F52" s="10">
        <v>25.249337204898371</v>
      </c>
      <c r="G52" s="9">
        <v>0</v>
      </c>
      <c r="H52" s="9" t="s">
        <v>29</v>
      </c>
      <c r="I52" s="9" t="s">
        <v>205</v>
      </c>
      <c r="J52" s="10">
        <v>3</v>
      </c>
      <c r="K52" s="10" t="s">
        <v>19</v>
      </c>
      <c r="L52" s="13" t="s">
        <v>19</v>
      </c>
      <c r="M52" s="13" t="s">
        <v>19</v>
      </c>
      <c r="N52" s="13" t="s">
        <v>2</v>
      </c>
      <c r="O52" s="14" t="s">
        <v>45</v>
      </c>
      <c r="P52" s="14" t="s">
        <v>91</v>
      </c>
      <c r="Q52" s="10">
        <v>161.82</v>
      </c>
      <c r="R52" s="10">
        <v>212.4</v>
      </c>
      <c r="S52" s="10">
        <v>1.1355300000000002</v>
      </c>
      <c r="T52" s="10" t="s">
        <v>0</v>
      </c>
      <c r="U52" s="10">
        <v>117.60000000000001</v>
      </c>
      <c r="V52" s="10" t="s">
        <v>0</v>
      </c>
      <c r="W52" s="10">
        <v>5.3</v>
      </c>
      <c r="X52" s="10">
        <v>16.5</v>
      </c>
      <c r="Y52" s="10">
        <v>6.98</v>
      </c>
      <c r="Z52" s="10">
        <v>5.0199999999999996</v>
      </c>
      <c r="AA52" s="10">
        <v>0.85</v>
      </c>
      <c r="AB52" s="10">
        <v>1.83</v>
      </c>
      <c r="AC52" s="15" t="s">
        <v>0</v>
      </c>
      <c r="AD52" s="16" t="s">
        <v>0</v>
      </c>
      <c r="AE52" s="10" t="s">
        <v>0</v>
      </c>
      <c r="AF52" s="10" t="s">
        <v>0</v>
      </c>
      <c r="AG52" s="9" t="s">
        <v>18</v>
      </c>
    </row>
    <row r="53" spans="1:33" s="12" customFormat="1" ht="19.95" customHeight="1" x14ac:dyDescent="0.25">
      <c r="A53" s="1" t="s">
        <v>145</v>
      </c>
      <c r="B53" s="9">
        <v>1</v>
      </c>
      <c r="C53" s="9">
        <v>41</v>
      </c>
      <c r="D53" s="10">
        <v>1.55</v>
      </c>
      <c r="E53" s="10">
        <v>64</v>
      </c>
      <c r="F53" s="10">
        <v>26.638917793964598</v>
      </c>
      <c r="G53" s="9">
        <v>0</v>
      </c>
      <c r="H53" s="9" t="s">
        <v>29</v>
      </c>
      <c r="I53" s="9" t="s">
        <v>205</v>
      </c>
      <c r="J53" s="10">
        <v>2</v>
      </c>
      <c r="K53" s="10" t="s">
        <v>19</v>
      </c>
      <c r="L53" s="13" t="s">
        <v>19</v>
      </c>
      <c r="M53" s="13" t="s">
        <v>19</v>
      </c>
      <c r="N53" s="13" t="s">
        <v>30</v>
      </c>
      <c r="O53" s="14" t="s">
        <v>49</v>
      </c>
      <c r="P53" s="9" t="s">
        <v>85</v>
      </c>
      <c r="Q53" s="10">
        <v>93.600000000000009</v>
      </c>
      <c r="R53" s="10">
        <v>173.88</v>
      </c>
      <c r="S53" s="10">
        <v>0.43</v>
      </c>
      <c r="T53" s="10">
        <v>2.2400000000000002</v>
      </c>
      <c r="U53" s="10">
        <v>52.91</v>
      </c>
      <c r="V53" s="10">
        <v>519.1</v>
      </c>
      <c r="W53" s="10">
        <v>6.3</v>
      </c>
      <c r="X53" s="20">
        <v>13.2</v>
      </c>
      <c r="Y53" s="10">
        <v>6.74</v>
      </c>
      <c r="Z53" s="10">
        <v>2.02</v>
      </c>
      <c r="AA53" s="10">
        <v>0.95</v>
      </c>
      <c r="AB53" s="10">
        <v>5.26</v>
      </c>
      <c r="AC53" s="15">
        <v>50.9</v>
      </c>
      <c r="AD53" s="16">
        <v>123</v>
      </c>
      <c r="AE53" s="10">
        <v>563.96</v>
      </c>
      <c r="AF53" s="10">
        <v>6.04</v>
      </c>
      <c r="AG53" s="9" t="s">
        <v>18</v>
      </c>
    </row>
    <row r="54" spans="1:33" s="12" customFormat="1" ht="19.95" customHeight="1" x14ac:dyDescent="0.25">
      <c r="A54" s="1" t="s">
        <v>147</v>
      </c>
      <c r="B54" s="9">
        <v>1</v>
      </c>
      <c r="C54" s="9">
        <v>83</v>
      </c>
      <c r="D54" s="10">
        <v>1.59</v>
      </c>
      <c r="E54" s="10">
        <v>50</v>
      </c>
      <c r="F54" s="10">
        <v>19.777698666983099</v>
      </c>
      <c r="G54" s="9">
        <v>0</v>
      </c>
      <c r="H54" s="9" t="s">
        <v>29</v>
      </c>
      <c r="I54" s="9" t="s">
        <v>205</v>
      </c>
      <c r="J54" s="10">
        <v>20</v>
      </c>
      <c r="K54" s="10" t="s">
        <v>19</v>
      </c>
      <c r="L54" s="13" t="s">
        <v>19</v>
      </c>
      <c r="M54" s="13" t="s">
        <v>19</v>
      </c>
      <c r="N54" s="13" t="s">
        <v>242</v>
      </c>
      <c r="O54" s="14" t="s">
        <v>46</v>
      </c>
      <c r="P54" s="9" t="s">
        <v>318</v>
      </c>
      <c r="Q54" s="10">
        <v>126</v>
      </c>
      <c r="R54" s="10" t="s">
        <v>0</v>
      </c>
      <c r="S54" s="10" t="s">
        <v>0</v>
      </c>
      <c r="T54" s="10" t="s">
        <v>0</v>
      </c>
      <c r="U54" s="10" t="s">
        <v>0</v>
      </c>
      <c r="V54" s="10" t="s">
        <v>0</v>
      </c>
      <c r="W54" s="10">
        <v>6.6</v>
      </c>
      <c r="X54" s="10">
        <v>17.2</v>
      </c>
      <c r="Y54" s="10" t="s">
        <v>0</v>
      </c>
      <c r="Z54" s="10" t="s">
        <v>0</v>
      </c>
      <c r="AA54" s="10" t="s">
        <v>0</v>
      </c>
      <c r="AB54" s="10" t="s">
        <v>0</v>
      </c>
      <c r="AC54" s="15" t="s">
        <v>0</v>
      </c>
      <c r="AD54" s="16" t="s">
        <v>0</v>
      </c>
      <c r="AE54" s="10" t="s">
        <v>0</v>
      </c>
      <c r="AF54" s="10" t="s">
        <v>0</v>
      </c>
      <c r="AG54" s="9" t="s">
        <v>18</v>
      </c>
    </row>
    <row r="55" spans="1:33" s="12" customFormat="1" ht="19.95" customHeight="1" x14ac:dyDescent="0.25">
      <c r="A55" s="1" t="s">
        <v>148</v>
      </c>
      <c r="B55" s="9">
        <v>2</v>
      </c>
      <c r="C55" s="9">
        <v>37</v>
      </c>
      <c r="D55" s="10">
        <v>1.78</v>
      </c>
      <c r="E55" s="10">
        <v>92.5</v>
      </c>
      <c r="F55" s="10">
        <v>29.194546143163699</v>
      </c>
      <c r="G55" s="9">
        <v>0</v>
      </c>
      <c r="H55" s="9" t="s">
        <v>29</v>
      </c>
      <c r="I55" s="9" t="s">
        <v>205</v>
      </c>
      <c r="J55" s="10">
        <v>11</v>
      </c>
      <c r="K55" s="10" t="s">
        <v>19</v>
      </c>
      <c r="L55" s="13" t="s">
        <v>19</v>
      </c>
      <c r="M55" s="13" t="s">
        <v>19</v>
      </c>
      <c r="N55" s="13" t="s">
        <v>19</v>
      </c>
      <c r="O55" s="14" t="s">
        <v>315</v>
      </c>
      <c r="P55" s="9" t="s">
        <v>216</v>
      </c>
      <c r="Q55" s="10">
        <v>126</v>
      </c>
      <c r="R55" s="10">
        <v>160.74</v>
      </c>
      <c r="S55" s="10">
        <v>0.3</v>
      </c>
      <c r="T55" s="10">
        <v>0.56000000000000005</v>
      </c>
      <c r="U55" s="10">
        <v>70.62</v>
      </c>
      <c r="V55" s="10">
        <v>264.32</v>
      </c>
      <c r="W55" s="10">
        <v>11.6</v>
      </c>
      <c r="X55" s="10">
        <v>26.8</v>
      </c>
      <c r="Y55" s="10">
        <v>5.48</v>
      </c>
      <c r="Z55" s="10">
        <v>1.71</v>
      </c>
      <c r="AA55" s="10">
        <v>0.82</v>
      </c>
      <c r="AB55" s="10">
        <v>4.4000000000000004</v>
      </c>
      <c r="AC55" s="15">
        <v>61.9</v>
      </c>
      <c r="AD55" s="16">
        <v>135</v>
      </c>
      <c r="AE55" s="10">
        <v>309.58999999999997</v>
      </c>
      <c r="AF55" s="10">
        <v>3.44</v>
      </c>
      <c r="AG55" s="9" t="s">
        <v>18</v>
      </c>
    </row>
    <row r="56" spans="1:33" s="12" customFormat="1" ht="19.95" customHeight="1" x14ac:dyDescent="0.25">
      <c r="A56" s="1" t="s">
        <v>149</v>
      </c>
      <c r="B56" s="9">
        <v>1</v>
      </c>
      <c r="C56" s="9">
        <v>68</v>
      </c>
      <c r="D56" s="10">
        <v>1.64</v>
      </c>
      <c r="E56" s="10">
        <v>51</v>
      </c>
      <c r="F56" s="10">
        <v>18.961927424152201</v>
      </c>
      <c r="G56" s="9">
        <v>0</v>
      </c>
      <c r="H56" s="9" t="s">
        <v>29</v>
      </c>
      <c r="I56" s="9" t="s">
        <v>205</v>
      </c>
      <c r="J56" s="10">
        <v>0.16666666666666599</v>
      </c>
      <c r="K56" s="10" t="s">
        <v>19</v>
      </c>
      <c r="L56" s="13" t="s">
        <v>19</v>
      </c>
      <c r="M56" s="13" t="s">
        <v>19</v>
      </c>
      <c r="N56" s="13" t="s">
        <v>2</v>
      </c>
      <c r="O56" s="14" t="s">
        <v>320</v>
      </c>
      <c r="P56" s="9" t="s">
        <v>216</v>
      </c>
      <c r="Q56" s="10">
        <v>158.4</v>
      </c>
      <c r="R56" s="10">
        <v>333.90000000000003</v>
      </c>
      <c r="S56" s="10">
        <v>0.62</v>
      </c>
      <c r="T56" s="10">
        <v>2.59</v>
      </c>
      <c r="U56" s="10">
        <v>68.61</v>
      </c>
      <c r="V56" s="10">
        <v>346.58</v>
      </c>
      <c r="W56" s="10">
        <v>7.6</v>
      </c>
      <c r="X56" s="10" t="s">
        <v>0</v>
      </c>
      <c r="Y56" s="10">
        <v>4.6900000000000004</v>
      </c>
      <c r="Z56" s="10">
        <v>1.56</v>
      </c>
      <c r="AA56" s="10">
        <v>1.1299999999999999</v>
      </c>
      <c r="AB56" s="10">
        <v>3.34</v>
      </c>
      <c r="AC56" s="15">
        <v>46.9</v>
      </c>
      <c r="AD56" s="16">
        <v>122</v>
      </c>
      <c r="AE56" s="10">
        <v>290.66000000000003</v>
      </c>
      <c r="AF56" s="10">
        <v>7.28</v>
      </c>
      <c r="AG56" s="9" t="s">
        <v>18</v>
      </c>
    </row>
    <row r="57" spans="1:33" s="12" customFormat="1" ht="19.95" customHeight="1" x14ac:dyDescent="0.25">
      <c r="A57" s="1" t="s">
        <v>150</v>
      </c>
      <c r="B57" s="9">
        <v>2</v>
      </c>
      <c r="C57" s="9">
        <v>52</v>
      </c>
      <c r="D57" s="10">
        <v>1.75</v>
      </c>
      <c r="E57" s="10">
        <v>81</v>
      </c>
      <c r="F57" s="10">
        <v>26.4489795918367</v>
      </c>
      <c r="G57" s="9">
        <v>0</v>
      </c>
      <c r="H57" s="9" t="s">
        <v>29</v>
      </c>
      <c r="I57" s="9" t="s">
        <v>205</v>
      </c>
      <c r="J57" s="10">
        <v>20</v>
      </c>
      <c r="K57" s="10" t="s">
        <v>19</v>
      </c>
      <c r="L57" s="13" t="s">
        <v>19</v>
      </c>
      <c r="M57" s="13" t="s">
        <v>19</v>
      </c>
      <c r="N57" s="13" t="s">
        <v>19</v>
      </c>
      <c r="O57" s="14" t="s">
        <v>321</v>
      </c>
      <c r="P57" s="9" t="s">
        <v>216</v>
      </c>
      <c r="Q57" s="10">
        <v>126</v>
      </c>
      <c r="R57" s="10" t="s">
        <v>0</v>
      </c>
      <c r="S57" s="10">
        <v>0.49</v>
      </c>
      <c r="T57" s="10" t="s">
        <v>0</v>
      </c>
      <c r="U57" s="10" t="s">
        <v>0</v>
      </c>
      <c r="V57" s="10" t="s">
        <v>0</v>
      </c>
      <c r="W57" s="10">
        <v>6.4</v>
      </c>
      <c r="X57" s="10">
        <v>13.9</v>
      </c>
      <c r="Y57" s="10">
        <v>4.83</v>
      </c>
      <c r="Z57" s="10">
        <v>1.05</v>
      </c>
      <c r="AA57" s="10">
        <v>1.1100000000000001</v>
      </c>
      <c r="AB57" s="10">
        <v>3.08</v>
      </c>
      <c r="AC57" s="15">
        <v>68.8</v>
      </c>
      <c r="AD57" s="16">
        <v>111</v>
      </c>
      <c r="AE57" s="10">
        <v>319.23</v>
      </c>
      <c r="AF57" s="10">
        <v>7.57</v>
      </c>
      <c r="AG57" s="9" t="s">
        <v>18</v>
      </c>
    </row>
    <row r="58" spans="1:33" s="21" customFormat="1" ht="19.95" customHeight="1" x14ac:dyDescent="0.25">
      <c r="A58" s="1" t="s">
        <v>151</v>
      </c>
      <c r="B58" s="9">
        <v>2</v>
      </c>
      <c r="C58" s="9">
        <v>54</v>
      </c>
      <c r="D58" s="10">
        <v>1.77</v>
      </c>
      <c r="E58" s="10">
        <v>72.5</v>
      </c>
      <c r="F58" s="10">
        <v>23.141498292316999</v>
      </c>
      <c r="G58" s="9">
        <v>0</v>
      </c>
      <c r="H58" s="9" t="s">
        <v>29</v>
      </c>
      <c r="I58" s="9" t="s">
        <v>205</v>
      </c>
      <c r="J58" s="10">
        <v>2</v>
      </c>
      <c r="K58" s="10" t="s">
        <v>19</v>
      </c>
      <c r="L58" s="13" t="s">
        <v>19</v>
      </c>
      <c r="M58" s="13" t="s">
        <v>19</v>
      </c>
      <c r="N58" s="13" t="s">
        <v>19</v>
      </c>
      <c r="O58" s="14" t="s">
        <v>353</v>
      </c>
      <c r="P58" s="9" t="s">
        <v>216</v>
      </c>
      <c r="Q58" s="10">
        <v>208.79999999999998</v>
      </c>
      <c r="R58" s="10">
        <v>327.42</v>
      </c>
      <c r="S58" s="10">
        <v>0.53</v>
      </c>
      <c r="T58" s="10">
        <v>1.07</v>
      </c>
      <c r="U58" s="10">
        <v>80.53</v>
      </c>
      <c r="V58" s="10">
        <v>476.13</v>
      </c>
      <c r="W58" s="10">
        <v>10.6</v>
      </c>
      <c r="X58" s="10">
        <v>20.3</v>
      </c>
      <c r="Y58" s="10">
        <v>5.83</v>
      </c>
      <c r="Z58" s="10">
        <v>1.45</v>
      </c>
      <c r="AA58" s="10">
        <v>1.43</v>
      </c>
      <c r="AB58" s="10">
        <v>4</v>
      </c>
      <c r="AC58" s="15">
        <v>66.3</v>
      </c>
      <c r="AD58" s="16">
        <v>141.69999999999999</v>
      </c>
      <c r="AE58" s="10">
        <v>243.98</v>
      </c>
      <c r="AF58" s="10">
        <v>5.75</v>
      </c>
      <c r="AG58" s="9" t="s">
        <v>18</v>
      </c>
    </row>
    <row r="59" spans="1:33" s="12" customFormat="1" ht="19.95" customHeight="1" x14ac:dyDescent="0.25">
      <c r="A59" s="1" t="s">
        <v>152</v>
      </c>
      <c r="B59" s="9">
        <v>2</v>
      </c>
      <c r="C59" s="9">
        <v>47</v>
      </c>
      <c r="D59" s="10">
        <v>1.76</v>
      </c>
      <c r="E59" s="10">
        <v>75</v>
      </c>
      <c r="F59" s="10">
        <v>24.2122933884297</v>
      </c>
      <c r="G59" s="9">
        <v>0</v>
      </c>
      <c r="H59" s="9" t="s">
        <v>29</v>
      </c>
      <c r="I59" s="9" t="s">
        <v>205</v>
      </c>
      <c r="J59" s="10">
        <v>10</v>
      </c>
      <c r="K59" s="10" t="s">
        <v>19</v>
      </c>
      <c r="L59" s="13" t="s">
        <v>19</v>
      </c>
      <c r="M59" s="13" t="s">
        <v>19</v>
      </c>
      <c r="N59" s="13" t="s">
        <v>19</v>
      </c>
      <c r="O59" s="14" t="s">
        <v>49</v>
      </c>
      <c r="P59" s="9" t="s">
        <v>216</v>
      </c>
      <c r="Q59" s="10">
        <v>199.79999999999998</v>
      </c>
      <c r="R59" s="10">
        <v>277.02</v>
      </c>
      <c r="S59" s="10">
        <v>0.2</v>
      </c>
      <c r="T59" s="10">
        <v>0.69</v>
      </c>
      <c r="U59" s="10">
        <v>32.24</v>
      </c>
      <c r="V59" s="10">
        <v>111.96</v>
      </c>
      <c r="W59" s="10">
        <v>8.8000000000000007</v>
      </c>
      <c r="X59" s="10" t="s">
        <v>0</v>
      </c>
      <c r="Y59" s="10">
        <v>4.82</v>
      </c>
      <c r="Z59" s="10">
        <v>1.68</v>
      </c>
      <c r="AA59" s="10">
        <v>0.81</v>
      </c>
      <c r="AB59" s="10">
        <v>3</v>
      </c>
      <c r="AC59" s="15">
        <v>87.1</v>
      </c>
      <c r="AD59" s="16">
        <v>82</v>
      </c>
      <c r="AE59" s="10">
        <v>520.64</v>
      </c>
      <c r="AF59" s="10">
        <v>4.95</v>
      </c>
      <c r="AG59" s="9" t="s">
        <v>18</v>
      </c>
    </row>
    <row r="60" spans="1:33" s="12" customFormat="1" ht="19.95" customHeight="1" x14ac:dyDescent="0.25">
      <c r="A60" s="1" t="s">
        <v>153</v>
      </c>
      <c r="B60" s="9">
        <v>1</v>
      </c>
      <c r="C60" s="9">
        <v>37</v>
      </c>
      <c r="D60" s="10">
        <v>1.65</v>
      </c>
      <c r="E60" s="10">
        <v>79.3</v>
      </c>
      <c r="F60" s="10">
        <v>29.127640036730899</v>
      </c>
      <c r="G60" s="9">
        <v>0</v>
      </c>
      <c r="H60" s="9" t="s">
        <v>29</v>
      </c>
      <c r="I60" s="9" t="s">
        <v>205</v>
      </c>
      <c r="J60" s="10">
        <v>8.3333333333333301E-2</v>
      </c>
      <c r="K60" s="10" t="s">
        <v>19</v>
      </c>
      <c r="L60" s="13" t="s">
        <v>19</v>
      </c>
      <c r="M60" s="13" t="s">
        <v>19</v>
      </c>
      <c r="N60" s="13" t="s">
        <v>243</v>
      </c>
      <c r="O60" s="14" t="s">
        <v>216</v>
      </c>
      <c r="P60" s="14" t="s">
        <v>86</v>
      </c>
      <c r="Q60" s="10">
        <v>117</v>
      </c>
      <c r="R60" s="10">
        <v>201.24</v>
      </c>
      <c r="S60" s="10">
        <v>0.99</v>
      </c>
      <c r="T60" s="10">
        <v>4.42</v>
      </c>
      <c r="U60" s="10">
        <v>122.96</v>
      </c>
      <c r="V60" s="10">
        <v>1228.93</v>
      </c>
      <c r="W60" s="10">
        <v>6.6</v>
      </c>
      <c r="X60" s="10">
        <v>11.9</v>
      </c>
      <c r="Y60" s="10">
        <v>3.62</v>
      </c>
      <c r="Z60" s="10">
        <v>1.98</v>
      </c>
      <c r="AA60" s="10">
        <v>0.96</v>
      </c>
      <c r="AB60" s="10">
        <v>0.98</v>
      </c>
      <c r="AC60" s="15">
        <v>53.5</v>
      </c>
      <c r="AD60" s="16">
        <v>119</v>
      </c>
      <c r="AE60" s="10">
        <v>391.73</v>
      </c>
      <c r="AF60" s="10">
        <v>5.01</v>
      </c>
      <c r="AG60" s="9" t="s">
        <v>18</v>
      </c>
    </row>
    <row r="61" spans="1:33" s="12" customFormat="1" ht="19.95" customHeight="1" x14ac:dyDescent="0.25">
      <c r="A61" s="1" t="s">
        <v>203</v>
      </c>
      <c r="B61" s="9">
        <v>1</v>
      </c>
      <c r="C61" s="9">
        <v>65</v>
      </c>
      <c r="D61" s="10">
        <v>1.58</v>
      </c>
      <c r="E61" s="10">
        <v>55.6</v>
      </c>
      <c r="F61" s="10">
        <v>22.272071783367998</v>
      </c>
      <c r="G61" s="9">
        <v>0</v>
      </c>
      <c r="H61" s="9" t="s">
        <v>29</v>
      </c>
      <c r="I61" s="9" t="s">
        <v>205</v>
      </c>
      <c r="J61" s="10">
        <v>6</v>
      </c>
      <c r="K61" s="10" t="s">
        <v>30</v>
      </c>
      <c r="L61" s="13" t="s">
        <v>19</v>
      </c>
      <c r="M61" s="13" t="s">
        <v>19</v>
      </c>
      <c r="N61" s="13" t="s">
        <v>19</v>
      </c>
      <c r="O61" s="14" t="s">
        <v>302</v>
      </c>
      <c r="P61" s="9" t="s">
        <v>216</v>
      </c>
      <c r="Q61" s="17">
        <v>144</v>
      </c>
      <c r="R61" s="17">
        <v>193.86</v>
      </c>
      <c r="S61" s="17">
        <v>0.16</v>
      </c>
      <c r="T61" s="17">
        <v>0.74</v>
      </c>
      <c r="U61" s="17">
        <v>18.600000000000001</v>
      </c>
      <c r="V61" s="17">
        <v>152.29</v>
      </c>
      <c r="W61" s="10">
        <v>7</v>
      </c>
      <c r="X61" s="10">
        <v>21.1</v>
      </c>
      <c r="Y61" s="10">
        <v>4.3899999999999997</v>
      </c>
      <c r="Z61" s="10">
        <v>0.73</v>
      </c>
      <c r="AA61" s="10">
        <v>1.71</v>
      </c>
      <c r="AB61" s="10">
        <v>2.06</v>
      </c>
      <c r="AC61" s="15">
        <v>44</v>
      </c>
      <c r="AD61" s="16">
        <v>132</v>
      </c>
      <c r="AE61" s="10">
        <v>216.93</v>
      </c>
      <c r="AF61" s="10">
        <v>7.85</v>
      </c>
      <c r="AG61" s="9" t="s">
        <v>18</v>
      </c>
    </row>
    <row r="62" spans="1:33" s="12" customFormat="1" ht="19.95" customHeight="1" x14ac:dyDescent="0.25">
      <c r="A62" s="1" t="s">
        <v>154</v>
      </c>
      <c r="B62" s="9">
        <v>1</v>
      </c>
      <c r="C62" s="9">
        <v>65</v>
      </c>
      <c r="D62" s="10">
        <v>1.58</v>
      </c>
      <c r="E62" s="10">
        <v>55.6</v>
      </c>
      <c r="F62" s="10">
        <v>22.272071783367998</v>
      </c>
      <c r="G62" s="9">
        <v>0</v>
      </c>
      <c r="H62" s="9" t="s">
        <v>29</v>
      </c>
      <c r="I62" s="9" t="s">
        <v>205</v>
      </c>
      <c r="J62" s="10">
        <v>7</v>
      </c>
      <c r="K62" s="10" t="s">
        <v>19</v>
      </c>
      <c r="L62" s="13" t="s">
        <v>19</v>
      </c>
      <c r="M62" s="13" t="s">
        <v>19</v>
      </c>
      <c r="N62" s="13" t="s">
        <v>19</v>
      </c>
      <c r="O62" s="14" t="s">
        <v>53</v>
      </c>
      <c r="P62" s="9" t="s">
        <v>216</v>
      </c>
      <c r="Q62" s="10">
        <v>113.4</v>
      </c>
      <c r="R62" s="10" t="s">
        <v>0</v>
      </c>
      <c r="S62" s="10" t="s">
        <v>0</v>
      </c>
      <c r="T62" s="10" t="s">
        <v>0</v>
      </c>
      <c r="U62" s="10" t="s">
        <v>0</v>
      </c>
      <c r="V62" s="10" t="s">
        <v>0</v>
      </c>
      <c r="W62" s="10">
        <v>6.7</v>
      </c>
      <c r="X62" s="10">
        <v>20.100000000000001</v>
      </c>
      <c r="Y62" s="10">
        <v>4.3899999999999997</v>
      </c>
      <c r="Z62" s="10">
        <v>0.73</v>
      </c>
      <c r="AA62" s="10">
        <v>1.71</v>
      </c>
      <c r="AB62" s="10">
        <v>2.06</v>
      </c>
      <c r="AC62" s="15">
        <v>44</v>
      </c>
      <c r="AD62" s="16">
        <v>132</v>
      </c>
      <c r="AE62" s="10">
        <v>216.93</v>
      </c>
      <c r="AF62" s="10">
        <v>7.85</v>
      </c>
      <c r="AG62" s="9" t="s">
        <v>18</v>
      </c>
    </row>
    <row r="63" spans="1:33" s="21" customFormat="1" ht="19.95" customHeight="1" x14ac:dyDescent="0.25">
      <c r="A63" s="1" t="s">
        <v>155</v>
      </c>
      <c r="B63" s="9">
        <v>1</v>
      </c>
      <c r="C63" s="9">
        <v>44</v>
      </c>
      <c r="D63" s="10">
        <v>1.6</v>
      </c>
      <c r="E63" s="10">
        <v>75</v>
      </c>
      <c r="F63" s="10">
        <v>29.296875</v>
      </c>
      <c r="G63" s="9">
        <v>0</v>
      </c>
      <c r="H63" s="9" t="s">
        <v>29</v>
      </c>
      <c r="I63" s="9" t="s">
        <v>205</v>
      </c>
      <c r="J63" s="10">
        <v>1</v>
      </c>
      <c r="K63" s="10" t="s">
        <v>19</v>
      </c>
      <c r="L63" s="13" t="s">
        <v>19</v>
      </c>
      <c r="M63" s="13" t="s">
        <v>19</v>
      </c>
      <c r="N63" s="13" t="s">
        <v>244</v>
      </c>
      <c r="O63" s="14" t="s">
        <v>216</v>
      </c>
      <c r="P63" s="14" t="s">
        <v>274</v>
      </c>
      <c r="Q63" s="10">
        <v>93.600000000000009</v>
      </c>
      <c r="R63" s="10" t="s">
        <v>0</v>
      </c>
      <c r="S63" s="10">
        <v>0.43</v>
      </c>
      <c r="T63" s="10" t="s">
        <v>0</v>
      </c>
      <c r="U63" s="10">
        <v>67.37</v>
      </c>
      <c r="V63" s="10" t="s">
        <v>0</v>
      </c>
      <c r="W63" s="10">
        <v>5.9</v>
      </c>
      <c r="X63" s="10">
        <v>14.2</v>
      </c>
      <c r="Y63" s="10">
        <v>4.08</v>
      </c>
      <c r="Z63" s="10">
        <v>1.52</v>
      </c>
      <c r="AA63" s="10">
        <v>1.22</v>
      </c>
      <c r="AB63" s="10">
        <v>2.4900000000000002</v>
      </c>
      <c r="AC63" s="15">
        <v>62</v>
      </c>
      <c r="AD63" s="16">
        <v>96</v>
      </c>
      <c r="AE63" s="10">
        <v>368.54</v>
      </c>
      <c r="AF63" s="10">
        <v>4.76</v>
      </c>
      <c r="AG63" s="9" t="s">
        <v>18</v>
      </c>
    </row>
    <row r="64" spans="1:33" s="12" customFormat="1" ht="19.95" customHeight="1" x14ac:dyDescent="0.25">
      <c r="A64" s="1" t="s">
        <v>156</v>
      </c>
      <c r="B64" s="9">
        <v>1</v>
      </c>
      <c r="C64" s="9">
        <v>79</v>
      </c>
      <c r="D64" s="10">
        <v>1.6</v>
      </c>
      <c r="E64" s="10">
        <v>60</v>
      </c>
      <c r="F64" s="10">
        <v>23.4375</v>
      </c>
      <c r="G64" s="9">
        <v>0</v>
      </c>
      <c r="H64" s="9" t="s">
        <v>29</v>
      </c>
      <c r="I64" s="9" t="s">
        <v>205</v>
      </c>
      <c r="J64" s="10">
        <v>30</v>
      </c>
      <c r="K64" s="10" t="s">
        <v>19</v>
      </c>
      <c r="L64" s="13" t="s">
        <v>19</v>
      </c>
      <c r="M64" s="13" t="s">
        <v>19</v>
      </c>
      <c r="N64" s="13" t="s">
        <v>33</v>
      </c>
      <c r="O64" s="14" t="s">
        <v>52</v>
      </c>
      <c r="P64" s="9" t="s">
        <v>216</v>
      </c>
      <c r="Q64" s="10">
        <v>165.6</v>
      </c>
      <c r="R64" s="10" t="s">
        <v>0</v>
      </c>
      <c r="S64" s="10" t="s">
        <v>0</v>
      </c>
      <c r="T64" s="10" t="s">
        <v>0</v>
      </c>
      <c r="U64" s="10" t="s">
        <v>0</v>
      </c>
      <c r="V64" s="10" t="s">
        <v>0</v>
      </c>
      <c r="W64" s="10">
        <v>7</v>
      </c>
      <c r="X64" s="10">
        <v>24.2</v>
      </c>
      <c r="Y64" s="10">
        <v>3.4</v>
      </c>
      <c r="Z64" s="10">
        <v>0.89</v>
      </c>
      <c r="AA64" s="10">
        <v>1.31</v>
      </c>
      <c r="AB64" s="10">
        <v>1.62</v>
      </c>
      <c r="AC64" s="15">
        <v>66.7</v>
      </c>
      <c r="AD64" s="16">
        <v>79</v>
      </c>
      <c r="AE64" s="10">
        <v>240.01</v>
      </c>
      <c r="AF64" s="10">
        <v>8.1300000000000008</v>
      </c>
      <c r="AG64" s="9" t="s">
        <v>18</v>
      </c>
    </row>
    <row r="65" spans="1:33" s="12" customFormat="1" ht="19.95" customHeight="1" x14ac:dyDescent="0.25">
      <c r="A65" s="1" t="s">
        <v>157</v>
      </c>
      <c r="B65" s="9">
        <v>1</v>
      </c>
      <c r="C65" s="9">
        <v>48</v>
      </c>
      <c r="D65" s="10">
        <v>1.58</v>
      </c>
      <c r="E65" s="10">
        <v>53</v>
      </c>
      <c r="F65" s="10">
        <v>21.2305720237141</v>
      </c>
      <c r="G65" s="9">
        <v>0</v>
      </c>
      <c r="H65" s="9" t="s">
        <v>29</v>
      </c>
      <c r="I65" s="9" t="s">
        <v>205</v>
      </c>
      <c r="J65" s="10">
        <v>0.66666666666666596</v>
      </c>
      <c r="K65" s="10" t="s">
        <v>19</v>
      </c>
      <c r="L65" s="13" t="s">
        <v>19</v>
      </c>
      <c r="M65" s="13" t="s">
        <v>19</v>
      </c>
      <c r="N65" s="13" t="s">
        <v>19</v>
      </c>
      <c r="O65" s="14" t="s">
        <v>49</v>
      </c>
      <c r="P65" s="9" t="s">
        <v>216</v>
      </c>
      <c r="Q65" s="10">
        <v>111.60000000000001</v>
      </c>
      <c r="R65" s="10">
        <v>155.34</v>
      </c>
      <c r="S65" s="10">
        <v>0.32</v>
      </c>
      <c r="T65" s="10">
        <v>1.33</v>
      </c>
      <c r="U65" s="10">
        <v>181.68</v>
      </c>
      <c r="V65" s="10">
        <v>404.07</v>
      </c>
      <c r="W65" s="10">
        <v>6.2</v>
      </c>
      <c r="X65" s="10">
        <v>15.3</v>
      </c>
      <c r="Y65" s="10">
        <v>4.9000000000000004</v>
      </c>
      <c r="Z65" s="10">
        <v>5.0199999999999996</v>
      </c>
      <c r="AA65" s="10">
        <v>0.86</v>
      </c>
      <c r="AB65" s="10">
        <v>2.25</v>
      </c>
      <c r="AC65" s="15">
        <v>48.8</v>
      </c>
      <c r="AD65" s="16">
        <v>125</v>
      </c>
      <c r="AE65" s="10">
        <v>364.67</v>
      </c>
      <c r="AF65" s="10">
        <v>5.47</v>
      </c>
      <c r="AG65" s="9" t="s">
        <v>18</v>
      </c>
    </row>
    <row r="66" spans="1:33" s="12" customFormat="1" ht="19.95" customHeight="1" x14ac:dyDescent="0.25">
      <c r="A66" s="1" t="s">
        <v>158</v>
      </c>
      <c r="B66" s="9">
        <v>2</v>
      </c>
      <c r="C66" s="9">
        <v>84</v>
      </c>
      <c r="D66" s="10">
        <v>1.72</v>
      </c>
      <c r="E66" s="10">
        <v>78</v>
      </c>
      <c r="F66" s="10">
        <v>26.365603028664101</v>
      </c>
      <c r="G66" s="9">
        <v>0</v>
      </c>
      <c r="H66" s="9" t="s">
        <v>28</v>
      </c>
      <c r="I66" s="9" t="s">
        <v>205</v>
      </c>
      <c r="J66" s="10">
        <v>40</v>
      </c>
      <c r="K66" s="10" t="s">
        <v>19</v>
      </c>
      <c r="L66" s="13" t="s">
        <v>20</v>
      </c>
      <c r="M66" s="13" t="s">
        <v>305</v>
      </c>
      <c r="N66" s="13" t="s">
        <v>312</v>
      </c>
      <c r="O66" s="14" t="s">
        <v>52</v>
      </c>
      <c r="P66" s="14" t="s">
        <v>267</v>
      </c>
      <c r="Q66" s="10">
        <v>129.6</v>
      </c>
      <c r="R66" s="10">
        <v>164.52</v>
      </c>
      <c r="S66" s="10">
        <v>0.31</v>
      </c>
      <c r="T66" s="10">
        <v>0.17</v>
      </c>
      <c r="U66" s="10">
        <v>64.58</v>
      </c>
      <c r="V66" s="10" t="s">
        <v>0</v>
      </c>
      <c r="W66" s="10">
        <v>7</v>
      </c>
      <c r="X66" s="10">
        <v>7.1</v>
      </c>
      <c r="Y66" s="10">
        <v>4.18</v>
      </c>
      <c r="Z66" s="10">
        <v>1.38</v>
      </c>
      <c r="AA66" s="10">
        <v>1.34</v>
      </c>
      <c r="AB66" s="10">
        <v>2.04</v>
      </c>
      <c r="AC66" s="15">
        <v>98</v>
      </c>
      <c r="AD66" s="16">
        <v>67</v>
      </c>
      <c r="AE66" s="10">
        <v>368.37</v>
      </c>
      <c r="AF66" s="10">
        <v>8.2200000000000006</v>
      </c>
      <c r="AG66" s="9" t="s">
        <v>18</v>
      </c>
    </row>
    <row r="67" spans="1:33" s="12" customFormat="1" ht="19.95" customHeight="1" x14ac:dyDescent="0.25">
      <c r="A67" s="1" t="s">
        <v>159</v>
      </c>
      <c r="B67" s="9">
        <v>2</v>
      </c>
      <c r="C67" s="9">
        <v>92</v>
      </c>
      <c r="D67" s="10">
        <v>1.7</v>
      </c>
      <c r="E67" s="10">
        <v>80</v>
      </c>
      <c r="F67" s="10">
        <v>27.681660899653977</v>
      </c>
      <c r="G67" s="9">
        <v>0</v>
      </c>
      <c r="H67" s="9" t="s">
        <v>29</v>
      </c>
      <c r="I67" s="9" t="s">
        <v>205</v>
      </c>
      <c r="J67" s="10">
        <v>5</v>
      </c>
      <c r="K67" s="10" t="s">
        <v>19</v>
      </c>
      <c r="L67" s="13" t="s">
        <v>19</v>
      </c>
      <c r="M67" s="13" t="s">
        <v>19</v>
      </c>
      <c r="N67" s="13" t="s">
        <v>33</v>
      </c>
      <c r="O67" s="14" t="s">
        <v>295</v>
      </c>
      <c r="P67" s="14" t="s">
        <v>311</v>
      </c>
      <c r="Q67" s="10">
        <v>169.02</v>
      </c>
      <c r="R67" s="10">
        <v>270</v>
      </c>
      <c r="S67" s="10">
        <v>1.2187800000000002</v>
      </c>
      <c r="T67" s="10" t="s">
        <v>0</v>
      </c>
      <c r="U67" s="10">
        <v>106.19999999999999</v>
      </c>
      <c r="V67" s="10" t="s">
        <v>0</v>
      </c>
      <c r="W67" s="10">
        <v>8.3000000000000007</v>
      </c>
      <c r="X67" s="10">
        <v>20.5</v>
      </c>
      <c r="Y67" s="10">
        <v>4.5599999999999996</v>
      </c>
      <c r="Z67" s="10">
        <v>1.63</v>
      </c>
      <c r="AA67" s="10">
        <v>1.1599999999999999</v>
      </c>
      <c r="AB67" s="10">
        <v>4.45</v>
      </c>
      <c r="AC67" s="15" t="s">
        <v>0</v>
      </c>
      <c r="AD67" s="16" t="s">
        <v>0</v>
      </c>
      <c r="AE67" s="10" t="s">
        <v>0</v>
      </c>
      <c r="AF67" s="10" t="s">
        <v>0</v>
      </c>
      <c r="AG67" s="9" t="s">
        <v>18</v>
      </c>
    </row>
    <row r="68" spans="1:33" s="12" customFormat="1" ht="19.95" customHeight="1" x14ac:dyDescent="0.25">
      <c r="A68" s="1" t="s">
        <v>160</v>
      </c>
      <c r="B68" s="9">
        <v>2</v>
      </c>
      <c r="C68" s="9">
        <v>69</v>
      </c>
      <c r="D68" s="10">
        <v>1.77</v>
      </c>
      <c r="E68" s="10">
        <v>73</v>
      </c>
      <c r="F68" s="10">
        <v>23.301094832263999</v>
      </c>
      <c r="G68" s="9">
        <v>0</v>
      </c>
      <c r="H68" s="9" t="s">
        <v>29</v>
      </c>
      <c r="I68" s="9" t="s">
        <v>205</v>
      </c>
      <c r="J68" s="10">
        <v>15</v>
      </c>
      <c r="K68" s="10" t="s">
        <v>19</v>
      </c>
      <c r="L68" s="13" t="s">
        <v>19</v>
      </c>
      <c r="M68" s="13" t="s">
        <v>19</v>
      </c>
      <c r="N68" s="13" t="s">
        <v>19</v>
      </c>
      <c r="O68" s="14" t="s">
        <v>50</v>
      </c>
      <c r="P68" s="14" t="s">
        <v>208</v>
      </c>
      <c r="Q68" s="10">
        <v>131.4</v>
      </c>
      <c r="R68" s="10" t="s">
        <v>0</v>
      </c>
      <c r="S68" s="10" t="s">
        <v>0</v>
      </c>
      <c r="T68" s="10" t="s">
        <v>0</v>
      </c>
      <c r="U68" s="10" t="s">
        <v>0</v>
      </c>
      <c r="V68" s="10" t="s">
        <v>0</v>
      </c>
      <c r="W68" s="10">
        <v>6.7</v>
      </c>
      <c r="X68" s="10" t="s">
        <v>0</v>
      </c>
      <c r="Y68" s="10">
        <v>3.34</v>
      </c>
      <c r="Z68" s="10">
        <v>1.62</v>
      </c>
      <c r="AA68" s="10">
        <v>1.01</v>
      </c>
      <c r="AB68" s="10">
        <v>1.85</v>
      </c>
      <c r="AC68" s="15">
        <v>81.5</v>
      </c>
      <c r="AD68" s="16">
        <v>88</v>
      </c>
      <c r="AE68" s="10">
        <v>551.63</v>
      </c>
      <c r="AF68" s="10">
        <v>7.73</v>
      </c>
      <c r="AG68" s="9" t="s">
        <v>18</v>
      </c>
    </row>
    <row r="69" spans="1:33" s="12" customFormat="1" ht="19.95" customHeight="1" x14ac:dyDescent="0.25">
      <c r="A69" s="1" t="s">
        <v>161</v>
      </c>
      <c r="B69" s="9">
        <v>1</v>
      </c>
      <c r="C69" s="9">
        <v>65</v>
      </c>
      <c r="D69" s="10">
        <v>1.59</v>
      </c>
      <c r="E69" s="10">
        <v>55</v>
      </c>
      <c r="F69" s="10">
        <v>21.755468533681402</v>
      </c>
      <c r="G69" s="9">
        <v>0</v>
      </c>
      <c r="H69" s="9" t="s">
        <v>29</v>
      </c>
      <c r="I69" s="9" t="s">
        <v>205</v>
      </c>
      <c r="J69" s="10">
        <v>5</v>
      </c>
      <c r="K69" s="10" t="s">
        <v>19</v>
      </c>
      <c r="L69" s="13" t="s">
        <v>19</v>
      </c>
      <c r="M69" s="13" t="s">
        <v>19</v>
      </c>
      <c r="N69" s="13" t="s">
        <v>37</v>
      </c>
      <c r="O69" s="14" t="s">
        <v>216</v>
      </c>
      <c r="P69" s="14" t="s">
        <v>216</v>
      </c>
      <c r="Q69" s="10">
        <v>140.4</v>
      </c>
      <c r="R69" s="10" t="s">
        <v>0</v>
      </c>
      <c r="S69" s="10">
        <v>0.5</v>
      </c>
      <c r="T69" s="10" t="s">
        <v>0</v>
      </c>
      <c r="U69" s="10">
        <v>86.66</v>
      </c>
      <c r="V69" s="10" t="s">
        <v>0</v>
      </c>
      <c r="W69" s="10">
        <v>6.9</v>
      </c>
      <c r="X69" s="10">
        <v>17.3</v>
      </c>
      <c r="Y69" s="10">
        <v>7.79</v>
      </c>
      <c r="Z69" s="10">
        <v>1.96</v>
      </c>
      <c r="AA69" s="10">
        <v>1.3</v>
      </c>
      <c r="AB69" s="10">
        <v>5.27</v>
      </c>
      <c r="AC69" s="15">
        <v>48.8</v>
      </c>
      <c r="AD69" s="16">
        <v>118</v>
      </c>
      <c r="AE69" s="10">
        <v>320.02999999999997</v>
      </c>
      <c r="AF69" s="10">
        <v>5.63</v>
      </c>
      <c r="AG69" s="9" t="s">
        <v>18</v>
      </c>
    </row>
    <row r="70" spans="1:33" s="12" customFormat="1" ht="19.95" customHeight="1" x14ac:dyDescent="0.25">
      <c r="A70" s="1" t="s">
        <v>162</v>
      </c>
      <c r="B70" s="9">
        <v>2</v>
      </c>
      <c r="C70" s="9">
        <v>63</v>
      </c>
      <c r="D70" s="10">
        <v>1.67</v>
      </c>
      <c r="E70" s="10">
        <v>67</v>
      </c>
      <c r="F70" s="10">
        <v>24.0238086700849</v>
      </c>
      <c r="G70" s="9">
        <v>0</v>
      </c>
      <c r="H70" s="9" t="s">
        <v>29</v>
      </c>
      <c r="I70" s="9" t="s">
        <v>205</v>
      </c>
      <c r="J70" s="10">
        <v>1</v>
      </c>
      <c r="K70" s="10" t="s">
        <v>19</v>
      </c>
      <c r="L70" s="13" t="s">
        <v>19</v>
      </c>
      <c r="M70" s="13" t="s">
        <v>19</v>
      </c>
      <c r="N70" s="13" t="s">
        <v>19</v>
      </c>
      <c r="O70" s="14" t="s">
        <v>54</v>
      </c>
      <c r="P70" s="14" t="s">
        <v>216</v>
      </c>
      <c r="Q70" s="10">
        <v>113.39999999999999</v>
      </c>
      <c r="R70" s="10">
        <v>223.92</v>
      </c>
      <c r="S70" s="10">
        <v>0.28000000000000003</v>
      </c>
      <c r="T70" s="10">
        <v>1.32</v>
      </c>
      <c r="U70" s="10" t="s">
        <v>0</v>
      </c>
      <c r="V70" s="10" t="s">
        <v>0</v>
      </c>
      <c r="W70" s="10">
        <v>6.1</v>
      </c>
      <c r="X70" s="10" t="s">
        <v>0</v>
      </c>
      <c r="Y70" s="10">
        <v>4.78</v>
      </c>
      <c r="Z70" s="10">
        <v>1.38</v>
      </c>
      <c r="AA70" s="10">
        <v>0.94</v>
      </c>
      <c r="AB70" s="10">
        <v>3.69</v>
      </c>
      <c r="AC70" s="15">
        <v>70.5</v>
      </c>
      <c r="AD70" s="16">
        <v>104</v>
      </c>
      <c r="AE70" s="10">
        <v>420.44</v>
      </c>
      <c r="AF70" s="10">
        <v>6.12</v>
      </c>
      <c r="AG70" s="9" t="s">
        <v>18</v>
      </c>
    </row>
    <row r="71" spans="1:33" s="12" customFormat="1" ht="19.95" customHeight="1" x14ac:dyDescent="0.25">
      <c r="A71" s="1" t="s">
        <v>163</v>
      </c>
      <c r="B71" s="9">
        <v>2</v>
      </c>
      <c r="C71" s="9">
        <v>67</v>
      </c>
      <c r="D71" s="10">
        <v>1.7</v>
      </c>
      <c r="E71" s="10">
        <v>71</v>
      </c>
      <c r="F71" s="10">
        <v>24.5674740484429</v>
      </c>
      <c r="G71" s="9">
        <v>0</v>
      </c>
      <c r="H71" s="9" t="s">
        <v>29</v>
      </c>
      <c r="I71" s="9" t="s">
        <v>205</v>
      </c>
      <c r="J71" s="10">
        <v>15</v>
      </c>
      <c r="K71" s="10" t="s">
        <v>19</v>
      </c>
      <c r="L71" s="13" t="s">
        <v>20</v>
      </c>
      <c r="M71" s="13" t="s">
        <v>19</v>
      </c>
      <c r="N71" s="13" t="s">
        <v>33</v>
      </c>
      <c r="O71" s="14" t="s">
        <v>54</v>
      </c>
      <c r="P71" s="9" t="s">
        <v>87</v>
      </c>
      <c r="Q71" s="10">
        <v>131.4</v>
      </c>
      <c r="R71" s="10" t="s">
        <v>0</v>
      </c>
      <c r="S71" s="10" t="s">
        <v>0</v>
      </c>
      <c r="T71" s="10" t="s">
        <v>0</v>
      </c>
      <c r="U71" s="10" t="s">
        <v>0</v>
      </c>
      <c r="V71" s="10" t="s">
        <v>0</v>
      </c>
      <c r="W71" s="10" t="s">
        <v>0</v>
      </c>
      <c r="X71" s="10" t="s">
        <v>0</v>
      </c>
      <c r="Y71" s="10">
        <v>4.1900000000000004</v>
      </c>
      <c r="Z71" s="10">
        <v>2.58</v>
      </c>
      <c r="AA71" s="10">
        <v>0.88</v>
      </c>
      <c r="AB71" s="10">
        <v>2.68</v>
      </c>
      <c r="AC71" s="15">
        <v>60.4</v>
      </c>
      <c r="AD71" s="16">
        <v>123</v>
      </c>
      <c r="AE71" s="10">
        <v>312.12</v>
      </c>
      <c r="AF71" s="10">
        <v>6.35</v>
      </c>
      <c r="AG71" s="9" t="s">
        <v>18</v>
      </c>
    </row>
    <row r="72" spans="1:33" s="12" customFormat="1" ht="19.95" customHeight="1" x14ac:dyDescent="0.25">
      <c r="A72" s="1" t="s">
        <v>164</v>
      </c>
      <c r="B72" s="9">
        <v>1</v>
      </c>
      <c r="C72" s="9">
        <v>77</v>
      </c>
      <c r="D72" s="10">
        <v>1.5</v>
      </c>
      <c r="E72" s="10">
        <v>56</v>
      </c>
      <c r="F72" s="10">
        <v>24.8888888888888</v>
      </c>
      <c r="G72" s="9">
        <v>0</v>
      </c>
      <c r="H72" s="9" t="s">
        <v>29</v>
      </c>
      <c r="I72" s="9" t="s">
        <v>205</v>
      </c>
      <c r="J72" s="10">
        <v>24</v>
      </c>
      <c r="K72" s="10" t="s">
        <v>19</v>
      </c>
      <c r="L72" s="13" t="s">
        <v>19</v>
      </c>
      <c r="M72" s="13" t="s">
        <v>19</v>
      </c>
      <c r="N72" s="13" t="s">
        <v>226</v>
      </c>
      <c r="O72" s="14" t="s">
        <v>54</v>
      </c>
      <c r="P72" s="9" t="s">
        <v>88</v>
      </c>
      <c r="Q72" s="10">
        <v>95.399999999999991</v>
      </c>
      <c r="R72" s="10" t="s">
        <v>0</v>
      </c>
      <c r="S72" s="10" t="s">
        <v>0</v>
      </c>
      <c r="T72" s="10" t="s">
        <v>0</v>
      </c>
      <c r="U72" s="10" t="s">
        <v>0</v>
      </c>
      <c r="V72" s="10" t="s">
        <v>0</v>
      </c>
      <c r="W72" s="10">
        <v>8.1999999999999993</v>
      </c>
      <c r="X72" s="10">
        <v>22.1</v>
      </c>
      <c r="Y72" s="10">
        <v>6.39</v>
      </c>
      <c r="Z72" s="10">
        <v>2.84</v>
      </c>
      <c r="AA72" s="10">
        <v>1.21</v>
      </c>
      <c r="AB72" s="10">
        <v>4.08</v>
      </c>
      <c r="AC72" s="15">
        <v>111.3</v>
      </c>
      <c r="AD72" s="16">
        <v>44</v>
      </c>
      <c r="AE72" s="10">
        <v>388.9</v>
      </c>
      <c r="AF72" s="10">
        <v>7.42</v>
      </c>
      <c r="AG72" s="9" t="s">
        <v>18</v>
      </c>
    </row>
    <row r="73" spans="1:33" s="12" customFormat="1" ht="19.95" customHeight="1" x14ac:dyDescent="0.25">
      <c r="A73" s="1" t="s">
        <v>165</v>
      </c>
      <c r="B73" s="9">
        <v>2</v>
      </c>
      <c r="C73" s="9">
        <v>72</v>
      </c>
      <c r="D73" s="10">
        <v>1.7</v>
      </c>
      <c r="E73" s="10">
        <v>68</v>
      </c>
      <c r="F73" s="10">
        <v>23.529411764705799</v>
      </c>
      <c r="G73" s="9">
        <v>0</v>
      </c>
      <c r="H73" s="9" t="s">
        <v>29</v>
      </c>
      <c r="I73" s="9" t="s">
        <v>205</v>
      </c>
      <c r="J73" s="10">
        <v>10</v>
      </c>
      <c r="K73" s="10" t="s">
        <v>19</v>
      </c>
      <c r="L73" s="13" t="s">
        <v>19</v>
      </c>
      <c r="M73" s="13" t="s">
        <v>19</v>
      </c>
      <c r="N73" s="13" t="s">
        <v>19</v>
      </c>
      <c r="O73" s="14" t="s">
        <v>55</v>
      </c>
      <c r="P73" s="9" t="s">
        <v>216</v>
      </c>
      <c r="Q73" s="10" t="s">
        <v>0</v>
      </c>
      <c r="R73" s="10" t="s">
        <v>0</v>
      </c>
      <c r="S73" s="10" t="s">
        <v>0</v>
      </c>
      <c r="T73" s="10" t="s">
        <v>0</v>
      </c>
      <c r="U73" s="10" t="s">
        <v>0</v>
      </c>
      <c r="V73" s="10" t="s">
        <v>0</v>
      </c>
      <c r="W73" s="10" t="s">
        <v>0</v>
      </c>
      <c r="X73" s="10" t="s">
        <v>0</v>
      </c>
      <c r="Y73" s="10">
        <v>3.85</v>
      </c>
      <c r="Z73" s="10">
        <v>1.08</v>
      </c>
      <c r="AA73" s="10">
        <v>1.0900000000000001</v>
      </c>
      <c r="AB73" s="10">
        <v>2.4900000000000002</v>
      </c>
      <c r="AC73" s="15">
        <v>71</v>
      </c>
      <c r="AD73" s="16">
        <v>101</v>
      </c>
      <c r="AE73" s="10">
        <v>314.83</v>
      </c>
      <c r="AF73" s="10">
        <v>4.63</v>
      </c>
      <c r="AG73" s="9" t="s">
        <v>18</v>
      </c>
    </row>
    <row r="74" spans="1:33" s="12" customFormat="1" ht="19.95" customHeight="1" x14ac:dyDescent="0.25">
      <c r="A74" s="1" t="s">
        <v>166</v>
      </c>
      <c r="B74" s="9">
        <v>2</v>
      </c>
      <c r="C74" s="9">
        <v>68</v>
      </c>
      <c r="D74" s="10">
        <v>1.73</v>
      </c>
      <c r="E74" s="10">
        <v>66</v>
      </c>
      <c r="F74" s="10">
        <v>22.052190183434099</v>
      </c>
      <c r="G74" s="9">
        <v>0</v>
      </c>
      <c r="H74" s="9" t="s">
        <v>29</v>
      </c>
      <c r="I74" s="9" t="s">
        <v>205</v>
      </c>
      <c r="J74" s="10">
        <v>2.5</v>
      </c>
      <c r="K74" s="10" t="s">
        <v>19</v>
      </c>
      <c r="L74" s="13" t="s">
        <v>19</v>
      </c>
      <c r="M74" s="13" t="s">
        <v>19</v>
      </c>
      <c r="N74" s="13" t="s">
        <v>19</v>
      </c>
      <c r="O74" s="14" t="s">
        <v>54</v>
      </c>
      <c r="P74" s="9" t="s">
        <v>89</v>
      </c>
      <c r="Q74" s="10" t="s">
        <v>0</v>
      </c>
      <c r="R74" s="10" t="s">
        <v>0</v>
      </c>
      <c r="S74" s="10" t="s">
        <v>0</v>
      </c>
      <c r="T74" s="10" t="s">
        <v>0</v>
      </c>
      <c r="U74" s="10" t="s">
        <v>0</v>
      </c>
      <c r="V74" s="10" t="s">
        <v>0</v>
      </c>
      <c r="W74" s="10" t="s">
        <v>0</v>
      </c>
      <c r="X74" s="10" t="s">
        <v>0</v>
      </c>
      <c r="Y74" s="10" t="s">
        <v>0</v>
      </c>
      <c r="Z74" s="10" t="s">
        <v>0</v>
      </c>
      <c r="AA74" s="10" t="s">
        <v>0</v>
      </c>
      <c r="AB74" s="10" t="s">
        <v>0</v>
      </c>
      <c r="AC74" s="15" t="s">
        <v>0</v>
      </c>
      <c r="AD74" s="16" t="s">
        <v>0</v>
      </c>
      <c r="AE74" s="10" t="s">
        <v>0</v>
      </c>
      <c r="AF74" s="10" t="s">
        <v>0</v>
      </c>
      <c r="AG74" s="9" t="s">
        <v>18</v>
      </c>
    </row>
    <row r="75" spans="1:33" s="12" customFormat="1" ht="19.95" customHeight="1" x14ac:dyDescent="0.25">
      <c r="A75" s="1" t="s">
        <v>167</v>
      </c>
      <c r="B75" s="9">
        <v>1</v>
      </c>
      <c r="C75" s="9">
        <v>63</v>
      </c>
      <c r="D75" s="10">
        <v>1.65</v>
      </c>
      <c r="E75" s="10">
        <v>72</v>
      </c>
      <c r="F75" s="10">
        <v>26.446280991735499</v>
      </c>
      <c r="G75" s="9">
        <v>0</v>
      </c>
      <c r="H75" s="9" t="s">
        <v>29</v>
      </c>
      <c r="I75" s="9" t="s">
        <v>205</v>
      </c>
      <c r="J75" s="10">
        <v>8</v>
      </c>
      <c r="K75" s="10" t="s">
        <v>19</v>
      </c>
      <c r="L75" s="13" t="s">
        <v>22</v>
      </c>
      <c r="M75" s="13" t="s">
        <v>23</v>
      </c>
      <c r="N75" s="13" t="s">
        <v>245</v>
      </c>
      <c r="O75" s="14" t="s">
        <v>56</v>
      </c>
      <c r="P75" s="9" t="s">
        <v>216</v>
      </c>
      <c r="Q75" s="10">
        <v>136.79999999999998</v>
      </c>
      <c r="R75" s="10">
        <v>256.32</v>
      </c>
      <c r="S75" s="10">
        <v>0.41</v>
      </c>
      <c r="T75" s="10">
        <v>1.88</v>
      </c>
      <c r="U75" s="10">
        <v>37.68</v>
      </c>
      <c r="V75" s="10">
        <v>260.47000000000003</v>
      </c>
      <c r="W75" s="10">
        <v>6.3</v>
      </c>
      <c r="X75" s="10">
        <v>20.399999999999999</v>
      </c>
      <c r="Y75" s="10">
        <v>5.31</v>
      </c>
      <c r="Z75" s="10">
        <v>1.67</v>
      </c>
      <c r="AA75" s="10">
        <v>1</v>
      </c>
      <c r="AB75" s="10">
        <v>3.72</v>
      </c>
      <c r="AC75" s="15">
        <v>73.2</v>
      </c>
      <c r="AD75" s="16">
        <v>74</v>
      </c>
      <c r="AE75" s="10">
        <v>262.39999999999998</v>
      </c>
      <c r="AF75" s="10">
        <v>6.48</v>
      </c>
      <c r="AG75" s="9" t="s">
        <v>18</v>
      </c>
    </row>
    <row r="76" spans="1:33" s="12" customFormat="1" ht="19.95" customHeight="1" x14ac:dyDescent="0.25">
      <c r="A76" s="1" t="s">
        <v>168</v>
      </c>
      <c r="B76" s="9">
        <v>1</v>
      </c>
      <c r="C76" s="9">
        <v>85</v>
      </c>
      <c r="D76" s="10">
        <v>1.5</v>
      </c>
      <c r="E76" s="10">
        <v>50</v>
      </c>
      <c r="F76" s="10">
        <v>22.2222222222222</v>
      </c>
      <c r="G76" s="9">
        <v>0</v>
      </c>
      <c r="H76" s="9" t="s">
        <v>29</v>
      </c>
      <c r="I76" s="9" t="s">
        <v>205</v>
      </c>
      <c r="J76" s="10">
        <v>16</v>
      </c>
      <c r="K76" s="10" t="s">
        <v>19</v>
      </c>
      <c r="L76" s="13" t="s">
        <v>31</v>
      </c>
      <c r="M76" s="13" t="s">
        <v>19</v>
      </c>
      <c r="N76" s="13" t="s">
        <v>19</v>
      </c>
      <c r="O76" s="14" t="s">
        <v>57</v>
      </c>
      <c r="P76" s="9" t="s">
        <v>275</v>
      </c>
      <c r="Q76" s="10">
        <v>167.4</v>
      </c>
      <c r="R76" s="10" t="s">
        <v>0</v>
      </c>
      <c r="S76" s="10">
        <v>0.31</v>
      </c>
      <c r="T76" s="10" t="s">
        <v>0</v>
      </c>
      <c r="U76" s="10">
        <v>29.03</v>
      </c>
      <c r="V76" s="10" t="s">
        <v>0</v>
      </c>
      <c r="W76" s="10">
        <v>7.9</v>
      </c>
      <c r="X76" s="10">
        <v>22.6</v>
      </c>
      <c r="Y76" s="10">
        <v>4.34</v>
      </c>
      <c r="Z76" s="10">
        <v>1.67</v>
      </c>
      <c r="AA76" s="10">
        <v>0.82</v>
      </c>
      <c r="AB76" s="10">
        <v>2.58</v>
      </c>
      <c r="AC76" s="15">
        <v>32.4</v>
      </c>
      <c r="AD76" s="16">
        <v>178</v>
      </c>
      <c r="AE76" s="23">
        <v>206.26</v>
      </c>
      <c r="AF76" s="10">
        <v>5.55</v>
      </c>
      <c r="AG76" s="9" t="s">
        <v>18</v>
      </c>
    </row>
    <row r="77" spans="1:33" s="12" customFormat="1" ht="19.95" customHeight="1" x14ac:dyDescent="0.25">
      <c r="A77" s="1" t="s">
        <v>169</v>
      </c>
      <c r="B77" s="9">
        <v>1</v>
      </c>
      <c r="C77" s="9">
        <v>85</v>
      </c>
      <c r="D77" s="10">
        <v>1.5</v>
      </c>
      <c r="E77" s="10">
        <v>50</v>
      </c>
      <c r="F77" s="10">
        <v>22.2222222222222</v>
      </c>
      <c r="G77" s="9">
        <v>0</v>
      </c>
      <c r="H77" s="9" t="s">
        <v>29</v>
      </c>
      <c r="I77" s="9" t="s">
        <v>205</v>
      </c>
      <c r="J77" s="10">
        <v>16</v>
      </c>
      <c r="K77" s="10" t="s">
        <v>30</v>
      </c>
      <c r="L77" s="13" t="s">
        <v>31</v>
      </c>
      <c r="M77" s="13" t="s">
        <v>19</v>
      </c>
      <c r="N77" s="13" t="s">
        <v>19</v>
      </c>
      <c r="O77" s="14" t="s">
        <v>296</v>
      </c>
      <c r="P77" s="9" t="s">
        <v>275</v>
      </c>
      <c r="Q77" s="10">
        <v>167.4</v>
      </c>
      <c r="R77" s="10" t="s">
        <v>0</v>
      </c>
      <c r="S77" s="10">
        <v>0.31</v>
      </c>
      <c r="T77" s="10" t="s">
        <v>0</v>
      </c>
      <c r="U77" s="10">
        <v>29.03</v>
      </c>
      <c r="V77" s="10" t="s">
        <v>0</v>
      </c>
      <c r="W77" s="10">
        <v>7.9</v>
      </c>
      <c r="X77" s="10">
        <v>22.6</v>
      </c>
      <c r="Y77" s="10">
        <v>4.34</v>
      </c>
      <c r="Z77" s="10">
        <v>1.67</v>
      </c>
      <c r="AA77" s="10">
        <v>0.82</v>
      </c>
      <c r="AB77" s="10">
        <v>2.58</v>
      </c>
      <c r="AC77" s="15">
        <v>32.4</v>
      </c>
      <c r="AD77" s="16">
        <v>178</v>
      </c>
      <c r="AE77" s="23">
        <v>206.26</v>
      </c>
      <c r="AF77" s="10">
        <v>5.55</v>
      </c>
      <c r="AG77" s="9" t="s">
        <v>18</v>
      </c>
    </row>
    <row r="78" spans="1:33" s="12" customFormat="1" ht="19.95" customHeight="1" x14ac:dyDescent="0.25">
      <c r="A78" s="1" t="s">
        <v>170</v>
      </c>
      <c r="B78" s="9">
        <v>1</v>
      </c>
      <c r="C78" s="9">
        <v>85</v>
      </c>
      <c r="D78" s="10">
        <v>1.5</v>
      </c>
      <c r="E78" s="10">
        <v>50</v>
      </c>
      <c r="F78" s="10">
        <v>22.2222222222222</v>
      </c>
      <c r="G78" s="9">
        <v>0</v>
      </c>
      <c r="H78" s="9" t="s">
        <v>29</v>
      </c>
      <c r="I78" s="9" t="s">
        <v>205</v>
      </c>
      <c r="J78" s="10">
        <v>16</v>
      </c>
      <c r="K78" s="10" t="s">
        <v>30</v>
      </c>
      <c r="L78" s="13" t="s">
        <v>31</v>
      </c>
      <c r="M78" s="13" t="s">
        <v>19</v>
      </c>
      <c r="N78" s="13" t="s">
        <v>19</v>
      </c>
      <c r="O78" s="14" t="s">
        <v>297</v>
      </c>
      <c r="P78" s="9" t="s">
        <v>275</v>
      </c>
      <c r="Q78" s="10">
        <v>167.4</v>
      </c>
      <c r="R78" s="10" t="s">
        <v>0</v>
      </c>
      <c r="S78" s="10">
        <v>0.31</v>
      </c>
      <c r="T78" s="10" t="s">
        <v>0</v>
      </c>
      <c r="U78" s="10">
        <v>29.03</v>
      </c>
      <c r="V78" s="10" t="s">
        <v>0</v>
      </c>
      <c r="W78" s="10">
        <v>7.9</v>
      </c>
      <c r="X78" s="10">
        <v>22.6</v>
      </c>
      <c r="Y78" s="10">
        <v>4.34</v>
      </c>
      <c r="Z78" s="10">
        <v>1.67</v>
      </c>
      <c r="AA78" s="10">
        <v>0.82</v>
      </c>
      <c r="AB78" s="10">
        <v>2.58</v>
      </c>
      <c r="AC78" s="15">
        <v>32.4</v>
      </c>
      <c r="AD78" s="16">
        <v>178</v>
      </c>
      <c r="AE78" s="23">
        <v>206.26</v>
      </c>
      <c r="AF78" s="10">
        <v>5.55</v>
      </c>
      <c r="AG78" s="9" t="s">
        <v>17</v>
      </c>
    </row>
    <row r="79" spans="1:33" s="12" customFormat="1" ht="19.95" customHeight="1" x14ac:dyDescent="0.25">
      <c r="A79" s="1" t="s">
        <v>171</v>
      </c>
      <c r="B79" s="9">
        <v>2</v>
      </c>
      <c r="C79" s="9">
        <v>62</v>
      </c>
      <c r="D79" s="10">
        <v>1.76</v>
      </c>
      <c r="E79" s="10">
        <v>65</v>
      </c>
      <c r="F79" s="10">
        <v>20.9839876033057</v>
      </c>
      <c r="G79" s="9">
        <v>0</v>
      </c>
      <c r="H79" s="9" t="s">
        <v>29</v>
      </c>
      <c r="I79" s="9" t="s">
        <v>205</v>
      </c>
      <c r="J79" s="10">
        <v>6</v>
      </c>
      <c r="K79" s="10" t="s">
        <v>19</v>
      </c>
      <c r="L79" s="13" t="s">
        <v>19</v>
      </c>
      <c r="M79" s="13" t="s">
        <v>19</v>
      </c>
      <c r="N79" s="13" t="s">
        <v>19</v>
      </c>
      <c r="O79" s="14" t="s">
        <v>298</v>
      </c>
      <c r="P79" s="14" t="s">
        <v>216</v>
      </c>
      <c r="Q79" s="10">
        <v>106.2</v>
      </c>
      <c r="R79" s="10">
        <v>215.64000000000001</v>
      </c>
      <c r="S79" s="10">
        <v>0.15</v>
      </c>
      <c r="T79" s="10">
        <v>0.85</v>
      </c>
      <c r="U79" s="10">
        <v>10.73</v>
      </c>
      <c r="V79" s="10">
        <v>69.599999999999994</v>
      </c>
      <c r="W79" s="10">
        <v>7.2</v>
      </c>
      <c r="X79" s="10">
        <v>18.600000000000001</v>
      </c>
      <c r="Y79" s="10">
        <v>3.81</v>
      </c>
      <c r="Z79" s="10">
        <v>0.92</v>
      </c>
      <c r="AA79" s="10">
        <v>0.84</v>
      </c>
      <c r="AB79" s="10">
        <v>2.56</v>
      </c>
      <c r="AC79" s="15">
        <v>45.7</v>
      </c>
      <c r="AD79" s="16">
        <v>172</v>
      </c>
      <c r="AE79" s="10">
        <v>277</v>
      </c>
      <c r="AF79" s="10">
        <v>7.17</v>
      </c>
      <c r="AG79" s="9" t="s">
        <v>18</v>
      </c>
    </row>
    <row r="80" spans="1:33" s="12" customFormat="1" ht="19.95" customHeight="1" x14ac:dyDescent="0.25">
      <c r="A80" s="1" t="s">
        <v>172</v>
      </c>
      <c r="B80" s="9">
        <v>2</v>
      </c>
      <c r="C80" s="9">
        <v>63</v>
      </c>
      <c r="D80" s="10">
        <v>1.7</v>
      </c>
      <c r="E80" s="10">
        <v>77.5</v>
      </c>
      <c r="F80" s="10">
        <v>26.816608996539699</v>
      </c>
      <c r="G80" s="9">
        <v>0</v>
      </c>
      <c r="H80" s="9" t="s">
        <v>29</v>
      </c>
      <c r="I80" s="9" t="s">
        <v>205</v>
      </c>
      <c r="J80" s="10">
        <v>15</v>
      </c>
      <c r="K80" s="10" t="s">
        <v>19</v>
      </c>
      <c r="L80" s="13" t="s">
        <v>30</v>
      </c>
      <c r="M80" s="13" t="s">
        <v>19</v>
      </c>
      <c r="N80" s="13" t="s">
        <v>40</v>
      </c>
      <c r="O80" s="14" t="s">
        <v>322</v>
      </c>
      <c r="P80" s="14" t="s">
        <v>90</v>
      </c>
      <c r="Q80" s="10">
        <v>135</v>
      </c>
      <c r="R80" s="10" t="s">
        <v>0</v>
      </c>
      <c r="S80" s="10" t="s">
        <v>0</v>
      </c>
      <c r="T80" s="10" t="s">
        <v>0</v>
      </c>
      <c r="U80" s="10" t="s">
        <v>0</v>
      </c>
      <c r="V80" s="10" t="s">
        <v>0</v>
      </c>
      <c r="W80" s="10">
        <v>7.2</v>
      </c>
      <c r="X80" s="10" t="s">
        <v>0</v>
      </c>
      <c r="Y80" s="10">
        <v>4.96</v>
      </c>
      <c r="Z80" s="10">
        <v>2.15</v>
      </c>
      <c r="AA80" s="10">
        <v>1.1100000000000001</v>
      </c>
      <c r="AB80" s="10">
        <v>3.29</v>
      </c>
      <c r="AC80" s="15">
        <v>90</v>
      </c>
      <c r="AD80" s="16">
        <v>79</v>
      </c>
      <c r="AE80" s="10">
        <v>429.72</v>
      </c>
      <c r="AF80" s="10">
        <v>9.2200000000000006</v>
      </c>
      <c r="AG80" s="9" t="s">
        <v>18</v>
      </c>
    </row>
    <row r="81" spans="1:33" s="12" customFormat="1" ht="19.95" customHeight="1" x14ac:dyDescent="0.25">
      <c r="A81" s="1" t="s">
        <v>173</v>
      </c>
      <c r="B81" s="9">
        <v>2</v>
      </c>
      <c r="C81" s="9">
        <v>59</v>
      </c>
      <c r="D81" s="10">
        <v>1.65</v>
      </c>
      <c r="E81" s="10">
        <v>70</v>
      </c>
      <c r="F81" s="10">
        <v>25.711662075298399</v>
      </c>
      <c r="G81" s="9">
        <v>0</v>
      </c>
      <c r="H81" s="9" t="s">
        <v>29</v>
      </c>
      <c r="I81" s="9" t="s">
        <v>205</v>
      </c>
      <c r="J81" s="10">
        <v>10</v>
      </c>
      <c r="K81" s="10" t="s">
        <v>19</v>
      </c>
      <c r="L81" s="13" t="s">
        <v>19</v>
      </c>
      <c r="M81" s="13" t="s">
        <v>19</v>
      </c>
      <c r="N81" s="13" t="s">
        <v>288</v>
      </c>
      <c r="O81" s="14" t="s">
        <v>323</v>
      </c>
      <c r="P81" s="14" t="s">
        <v>276</v>
      </c>
      <c r="Q81" s="10">
        <v>167.4</v>
      </c>
      <c r="R81" s="10">
        <v>234.18</v>
      </c>
      <c r="S81" s="10">
        <v>0.68</v>
      </c>
      <c r="T81" s="10">
        <v>2.17</v>
      </c>
      <c r="U81" s="10">
        <v>94.76</v>
      </c>
      <c r="V81" s="10">
        <v>313.85000000000002</v>
      </c>
      <c r="W81" s="10">
        <v>8.1</v>
      </c>
      <c r="X81" s="10">
        <v>18.2</v>
      </c>
      <c r="Y81" s="10">
        <v>6.57</v>
      </c>
      <c r="Z81" s="10">
        <v>1.77</v>
      </c>
      <c r="AA81" s="10">
        <v>1.29</v>
      </c>
      <c r="AB81" s="10">
        <v>3.85</v>
      </c>
      <c r="AC81" s="15">
        <v>48.6</v>
      </c>
      <c r="AD81" s="16">
        <v>121</v>
      </c>
      <c r="AE81" s="10">
        <v>357.46</v>
      </c>
      <c r="AF81" s="10">
        <v>7.98</v>
      </c>
      <c r="AG81" s="9" t="s">
        <v>18</v>
      </c>
    </row>
    <row r="82" spans="1:33" s="12" customFormat="1" ht="19.95" customHeight="1" x14ac:dyDescent="0.25">
      <c r="A82" s="1" t="s">
        <v>174</v>
      </c>
      <c r="B82" s="9">
        <v>2</v>
      </c>
      <c r="C82" s="9">
        <v>97</v>
      </c>
      <c r="D82" s="10">
        <v>1.76</v>
      </c>
      <c r="E82" s="10">
        <v>68</v>
      </c>
      <c r="F82" s="10">
        <v>21.952479338842899</v>
      </c>
      <c r="G82" s="9">
        <v>0</v>
      </c>
      <c r="H82" s="9" t="s">
        <v>29</v>
      </c>
      <c r="I82" s="9" t="s">
        <v>205</v>
      </c>
      <c r="J82" s="10">
        <v>4.1666666666666602E-2</v>
      </c>
      <c r="K82" s="10" t="s">
        <v>19</v>
      </c>
      <c r="L82" s="13" t="s">
        <v>293</v>
      </c>
      <c r="M82" s="13" t="s">
        <v>19</v>
      </c>
      <c r="N82" s="13" t="s">
        <v>246</v>
      </c>
      <c r="O82" s="14" t="s">
        <v>299</v>
      </c>
      <c r="P82" s="14" t="s">
        <v>268</v>
      </c>
      <c r="Q82" s="10">
        <v>432</v>
      </c>
      <c r="R82" s="10" t="s">
        <v>0</v>
      </c>
      <c r="S82" s="10" t="s">
        <v>0</v>
      </c>
      <c r="T82" s="10" t="s">
        <v>0</v>
      </c>
      <c r="U82" s="10" t="s">
        <v>0</v>
      </c>
      <c r="V82" s="10" t="s">
        <v>0</v>
      </c>
      <c r="W82" s="10">
        <v>13.6</v>
      </c>
      <c r="X82" s="10">
        <v>41.9</v>
      </c>
      <c r="Y82" s="10">
        <v>4.28</v>
      </c>
      <c r="Z82" s="10">
        <v>1.54</v>
      </c>
      <c r="AA82" s="10">
        <v>0.85</v>
      </c>
      <c r="AB82" s="10">
        <v>3.27</v>
      </c>
      <c r="AC82" s="15">
        <v>86.2</v>
      </c>
      <c r="AD82" s="16">
        <v>76</v>
      </c>
      <c r="AE82" s="10" t="s">
        <v>0</v>
      </c>
      <c r="AF82" s="10">
        <v>7.61</v>
      </c>
      <c r="AG82" s="9" t="s">
        <v>18</v>
      </c>
    </row>
    <row r="83" spans="1:33" s="12" customFormat="1" ht="19.95" customHeight="1" x14ac:dyDescent="0.25">
      <c r="A83" s="1" t="s">
        <v>175</v>
      </c>
      <c r="B83" s="9">
        <v>2</v>
      </c>
      <c r="C83" s="9">
        <v>31</v>
      </c>
      <c r="D83" s="10">
        <v>1.8</v>
      </c>
      <c r="E83" s="10">
        <v>85</v>
      </c>
      <c r="F83" s="10">
        <v>26.234567901234499</v>
      </c>
      <c r="G83" s="9">
        <v>0</v>
      </c>
      <c r="H83" s="9" t="s">
        <v>29</v>
      </c>
      <c r="I83" s="9" t="s">
        <v>205</v>
      </c>
      <c r="J83" s="10">
        <v>0.57999999999999996</v>
      </c>
      <c r="K83" s="10" t="s">
        <v>19</v>
      </c>
      <c r="L83" s="13" t="s">
        <v>19</v>
      </c>
      <c r="M83" s="13" t="s">
        <v>19</v>
      </c>
      <c r="N83" s="13" t="s">
        <v>19</v>
      </c>
      <c r="O83" s="14" t="s">
        <v>303</v>
      </c>
      <c r="P83" s="14" t="s">
        <v>74</v>
      </c>
      <c r="Q83" s="10">
        <v>284.39999999999998</v>
      </c>
      <c r="R83" s="10">
        <v>440.64</v>
      </c>
      <c r="S83" s="10">
        <v>0.72</v>
      </c>
      <c r="T83" s="10">
        <v>0.73</v>
      </c>
      <c r="U83" s="10">
        <v>43.28</v>
      </c>
      <c r="V83" s="10">
        <v>85.75</v>
      </c>
      <c r="W83" s="10">
        <v>11.5</v>
      </c>
      <c r="X83" s="10">
        <v>28.4</v>
      </c>
      <c r="Y83" s="10">
        <v>3.79</v>
      </c>
      <c r="Z83" s="10">
        <v>1.93</v>
      </c>
      <c r="AA83" s="10">
        <v>0.69</v>
      </c>
      <c r="AB83" s="10">
        <v>2.52</v>
      </c>
      <c r="AC83" s="15">
        <v>55.2</v>
      </c>
      <c r="AD83" s="16">
        <v>160</v>
      </c>
      <c r="AE83" s="10">
        <v>422.26</v>
      </c>
      <c r="AF83" s="10">
        <v>3.59</v>
      </c>
      <c r="AG83" s="9" t="s">
        <v>18</v>
      </c>
    </row>
    <row r="84" spans="1:33" s="9" customFormat="1" ht="19.95" customHeight="1" x14ac:dyDescent="0.25">
      <c r="A84" s="1" t="s">
        <v>176</v>
      </c>
      <c r="B84" s="9">
        <v>2</v>
      </c>
      <c r="C84" s="9">
        <v>31</v>
      </c>
      <c r="D84" s="10">
        <v>1.8</v>
      </c>
      <c r="E84" s="10">
        <v>85</v>
      </c>
      <c r="F84" s="10">
        <v>26.234567901234499</v>
      </c>
      <c r="G84" s="9">
        <v>0</v>
      </c>
      <c r="H84" s="9" t="s">
        <v>29</v>
      </c>
      <c r="I84" s="9" t="s">
        <v>205</v>
      </c>
      <c r="J84" s="10">
        <v>0.57999999999999996</v>
      </c>
      <c r="K84" s="10" t="s">
        <v>30</v>
      </c>
      <c r="L84" s="10" t="s">
        <v>19</v>
      </c>
      <c r="M84" s="10" t="s">
        <v>19</v>
      </c>
      <c r="N84" s="10" t="s">
        <v>19</v>
      </c>
      <c r="O84" s="14" t="s">
        <v>304</v>
      </c>
      <c r="P84" s="14" t="s">
        <v>73</v>
      </c>
      <c r="Q84" s="10">
        <v>117</v>
      </c>
      <c r="R84" s="10" t="s">
        <v>0</v>
      </c>
      <c r="S84" s="10">
        <v>0.67</v>
      </c>
      <c r="T84" s="10" t="s">
        <v>0</v>
      </c>
      <c r="U84" s="10">
        <v>353.98</v>
      </c>
      <c r="V84" s="10" t="s">
        <v>0</v>
      </c>
      <c r="W84" s="10">
        <v>11.5</v>
      </c>
      <c r="X84" s="10">
        <v>15.6</v>
      </c>
      <c r="Y84" s="10">
        <v>3.79</v>
      </c>
      <c r="Z84" s="10">
        <v>1.93</v>
      </c>
      <c r="AA84" s="10">
        <v>0.69</v>
      </c>
      <c r="AB84" s="10">
        <v>2.52</v>
      </c>
      <c r="AC84" s="15">
        <v>68.599999999999994</v>
      </c>
      <c r="AD84" s="16">
        <v>124</v>
      </c>
      <c r="AE84" s="10">
        <v>535.76</v>
      </c>
      <c r="AF84" s="10">
        <v>4.5999999999999996</v>
      </c>
      <c r="AG84" s="9" t="s">
        <v>1</v>
      </c>
    </row>
    <row r="85" spans="1:33" s="12" customFormat="1" ht="19.95" customHeight="1" x14ac:dyDescent="0.25">
      <c r="A85" s="1" t="s">
        <v>177</v>
      </c>
      <c r="B85" s="9">
        <v>1</v>
      </c>
      <c r="C85" s="9">
        <v>50</v>
      </c>
      <c r="D85" s="10">
        <v>1.61</v>
      </c>
      <c r="E85" s="10">
        <v>72.5</v>
      </c>
      <c r="F85" s="10">
        <v>27.969599938273898</v>
      </c>
      <c r="G85" s="9">
        <v>0</v>
      </c>
      <c r="H85" s="9" t="s">
        <v>29</v>
      </c>
      <c r="I85" s="9" t="s">
        <v>205</v>
      </c>
      <c r="J85" s="10">
        <v>4</v>
      </c>
      <c r="K85" s="10" t="s">
        <v>19</v>
      </c>
      <c r="L85" s="13" t="s">
        <v>19</v>
      </c>
      <c r="M85" s="13" t="s">
        <v>19</v>
      </c>
      <c r="N85" s="13" t="s">
        <v>33</v>
      </c>
      <c r="O85" s="14" t="s">
        <v>54</v>
      </c>
      <c r="P85" s="14" t="s">
        <v>30</v>
      </c>
      <c r="Q85" s="10">
        <v>172.8</v>
      </c>
      <c r="R85" s="10" t="s">
        <v>0</v>
      </c>
      <c r="S85" s="10" t="s">
        <v>0</v>
      </c>
      <c r="T85" s="10" t="s">
        <v>0</v>
      </c>
      <c r="U85" s="10" t="s">
        <v>0</v>
      </c>
      <c r="V85" s="10" t="s">
        <v>0</v>
      </c>
      <c r="W85" s="10">
        <v>6</v>
      </c>
      <c r="X85" s="10" t="s">
        <v>0</v>
      </c>
      <c r="Y85" s="10">
        <v>4.66</v>
      </c>
      <c r="Z85" s="10">
        <v>1.36</v>
      </c>
      <c r="AA85" s="10">
        <v>1.21</v>
      </c>
      <c r="AB85" s="10">
        <v>3.15</v>
      </c>
      <c r="AC85" s="15">
        <v>42.9</v>
      </c>
      <c r="AD85" s="16">
        <v>144</v>
      </c>
      <c r="AE85" s="10">
        <v>335.18</v>
      </c>
      <c r="AF85" s="10">
        <v>5.34</v>
      </c>
      <c r="AG85" s="9" t="s">
        <v>1</v>
      </c>
    </row>
    <row r="86" spans="1:33" s="12" customFormat="1" ht="19.95" customHeight="1" x14ac:dyDescent="0.25">
      <c r="A86" s="1" t="s">
        <v>178</v>
      </c>
      <c r="B86" s="9">
        <v>2</v>
      </c>
      <c r="C86" s="9">
        <v>52</v>
      </c>
      <c r="D86" s="10">
        <v>1.7</v>
      </c>
      <c r="E86" s="10">
        <v>70</v>
      </c>
      <c r="F86" s="10">
        <v>24.2214532871972</v>
      </c>
      <c r="G86" s="9">
        <v>0</v>
      </c>
      <c r="H86" s="9" t="s">
        <v>29</v>
      </c>
      <c r="I86" s="9" t="s">
        <v>205</v>
      </c>
      <c r="J86" s="10">
        <v>9</v>
      </c>
      <c r="K86" s="10" t="s">
        <v>19</v>
      </c>
      <c r="L86" s="13" t="s">
        <v>19</v>
      </c>
      <c r="M86" s="13" t="s">
        <v>19</v>
      </c>
      <c r="N86" s="13" t="s">
        <v>19</v>
      </c>
      <c r="O86" s="14" t="s">
        <v>58</v>
      </c>
      <c r="P86" s="14" t="s">
        <v>30</v>
      </c>
      <c r="Q86" s="10">
        <v>241.20000000000002</v>
      </c>
      <c r="R86" s="10">
        <v>369.90000000000003</v>
      </c>
      <c r="S86" s="10">
        <v>0.6</v>
      </c>
      <c r="T86" s="10">
        <v>0.86</v>
      </c>
      <c r="U86" s="10">
        <v>43.39</v>
      </c>
      <c r="V86" s="10">
        <v>85.76</v>
      </c>
      <c r="W86" s="10">
        <v>9.6</v>
      </c>
      <c r="X86" s="10">
        <v>26.6</v>
      </c>
      <c r="Y86" s="10">
        <v>5.07</v>
      </c>
      <c r="Z86" s="10">
        <v>1.75</v>
      </c>
      <c r="AA86" s="10">
        <v>1.01</v>
      </c>
      <c r="AB86" s="10">
        <v>3.66</v>
      </c>
      <c r="AC86" s="15">
        <v>71.599999999999994</v>
      </c>
      <c r="AD86" s="16">
        <v>106</v>
      </c>
      <c r="AE86" s="10">
        <v>424.26</v>
      </c>
      <c r="AF86" s="10">
        <v>5.46</v>
      </c>
      <c r="AG86" s="9" t="s">
        <v>18</v>
      </c>
    </row>
    <row r="87" spans="1:33" s="12" customFormat="1" ht="19.95" customHeight="1" x14ac:dyDescent="0.25">
      <c r="A87" s="1" t="s">
        <v>179</v>
      </c>
      <c r="B87" s="9">
        <v>2</v>
      </c>
      <c r="C87" s="9">
        <v>38</v>
      </c>
      <c r="D87" s="10">
        <v>1.73</v>
      </c>
      <c r="E87" s="10">
        <v>78.5</v>
      </c>
      <c r="F87" s="10">
        <v>26.228741354539075</v>
      </c>
      <c r="G87" s="9">
        <v>0</v>
      </c>
      <c r="H87" s="9" t="s">
        <v>29</v>
      </c>
      <c r="I87" s="9" t="s">
        <v>205</v>
      </c>
      <c r="J87" s="10">
        <v>0.67</v>
      </c>
      <c r="K87" s="10" t="s">
        <v>19</v>
      </c>
      <c r="L87" s="13" t="s">
        <v>19</v>
      </c>
      <c r="M87" s="13" t="s">
        <v>19</v>
      </c>
      <c r="N87" s="13" t="s">
        <v>19</v>
      </c>
      <c r="O87" s="14" t="s">
        <v>60</v>
      </c>
      <c r="P87" s="14" t="s">
        <v>30</v>
      </c>
      <c r="Q87" s="10">
        <v>95.399999999999991</v>
      </c>
      <c r="R87" s="10">
        <v>113.22</v>
      </c>
      <c r="S87" s="10">
        <v>0.65</v>
      </c>
      <c r="T87" s="10">
        <v>2.04</v>
      </c>
      <c r="U87" s="10">
        <v>97.85</v>
      </c>
      <c r="V87" s="10">
        <v>455.74</v>
      </c>
      <c r="W87" s="10">
        <v>6.1</v>
      </c>
      <c r="X87" s="10">
        <v>11.2</v>
      </c>
      <c r="Y87" s="10">
        <v>5.07</v>
      </c>
      <c r="Z87" s="10">
        <v>2.4300000000000002</v>
      </c>
      <c r="AA87" s="10">
        <v>0.96</v>
      </c>
      <c r="AB87" s="10">
        <v>3.76</v>
      </c>
      <c r="AC87" s="15">
        <v>70.400000000000006</v>
      </c>
      <c r="AD87" s="16">
        <v>116</v>
      </c>
      <c r="AE87" s="10">
        <v>334.68</v>
      </c>
      <c r="AF87" s="10">
        <v>6.71</v>
      </c>
      <c r="AG87" s="9" t="s">
        <v>18</v>
      </c>
    </row>
    <row r="88" spans="1:33" s="12" customFormat="1" ht="19.95" customHeight="1" x14ac:dyDescent="0.25">
      <c r="A88" s="1" t="s">
        <v>180</v>
      </c>
      <c r="B88" s="9">
        <v>2</v>
      </c>
      <c r="C88" s="9">
        <v>58</v>
      </c>
      <c r="D88" s="10">
        <v>1.7</v>
      </c>
      <c r="E88" s="10">
        <v>66</v>
      </c>
      <c r="F88" s="10">
        <v>22.837370242214501</v>
      </c>
      <c r="G88" s="9">
        <v>0</v>
      </c>
      <c r="H88" s="9" t="s">
        <v>29</v>
      </c>
      <c r="I88" s="9" t="s">
        <v>205</v>
      </c>
      <c r="J88" s="10">
        <v>10</v>
      </c>
      <c r="K88" s="10" t="s">
        <v>19</v>
      </c>
      <c r="L88" s="13" t="s">
        <v>19</v>
      </c>
      <c r="M88" s="13" t="s">
        <v>19</v>
      </c>
      <c r="N88" s="13" t="s">
        <v>33</v>
      </c>
      <c r="O88" s="14" t="s">
        <v>59</v>
      </c>
      <c r="P88" s="14" t="s">
        <v>30</v>
      </c>
      <c r="Q88" s="10">
        <v>129.6</v>
      </c>
      <c r="R88" s="10">
        <v>212.58</v>
      </c>
      <c r="S88" s="10">
        <v>0.4</v>
      </c>
      <c r="T88" s="10">
        <v>1.33</v>
      </c>
      <c r="U88" s="10">
        <v>34.770000000000003</v>
      </c>
      <c r="V88" s="10">
        <v>197.52</v>
      </c>
      <c r="W88" s="10">
        <v>6.8</v>
      </c>
      <c r="X88" s="10">
        <v>19.100000000000001</v>
      </c>
      <c r="Y88" s="10">
        <v>6.65</v>
      </c>
      <c r="Z88" s="10">
        <v>1.93</v>
      </c>
      <c r="AA88" s="10">
        <v>1.06</v>
      </c>
      <c r="AB88" s="10">
        <v>4.6100000000000003</v>
      </c>
      <c r="AC88" s="15">
        <v>94.8</v>
      </c>
      <c r="AD88" s="16">
        <v>75</v>
      </c>
      <c r="AE88" s="10">
        <v>479.12</v>
      </c>
      <c r="AF88" s="10">
        <v>5.21</v>
      </c>
      <c r="AG88" s="9" t="s">
        <v>18</v>
      </c>
    </row>
    <row r="89" spans="1:33" s="9" customFormat="1" ht="19.95" customHeight="1" x14ac:dyDescent="0.25">
      <c r="A89" s="1" t="s">
        <v>181</v>
      </c>
      <c r="B89" s="9">
        <v>2</v>
      </c>
      <c r="C89" s="9">
        <v>58</v>
      </c>
      <c r="D89" s="10">
        <v>1.7</v>
      </c>
      <c r="E89" s="10">
        <v>66</v>
      </c>
      <c r="F89" s="10">
        <v>22.837370242214501</v>
      </c>
      <c r="G89" s="9">
        <v>0</v>
      </c>
      <c r="H89" s="9" t="s">
        <v>29</v>
      </c>
      <c r="I89" s="9" t="s">
        <v>205</v>
      </c>
      <c r="J89" s="10">
        <v>10</v>
      </c>
      <c r="K89" s="10" t="s">
        <v>30</v>
      </c>
      <c r="L89" s="10" t="s">
        <v>19</v>
      </c>
      <c r="M89" s="10" t="s">
        <v>19</v>
      </c>
      <c r="N89" s="10" t="s">
        <v>33</v>
      </c>
      <c r="O89" s="14" t="s">
        <v>308</v>
      </c>
      <c r="P89" s="14" t="s">
        <v>30</v>
      </c>
      <c r="Q89" s="10">
        <v>129.6</v>
      </c>
      <c r="R89" s="10">
        <v>212.58</v>
      </c>
      <c r="S89" s="10">
        <v>0.4</v>
      </c>
      <c r="T89" s="10">
        <v>1.33</v>
      </c>
      <c r="U89" s="10">
        <v>34.770000000000003</v>
      </c>
      <c r="V89" s="10">
        <v>197.52</v>
      </c>
      <c r="W89" s="10">
        <v>6.8</v>
      </c>
      <c r="X89" s="10">
        <v>19.100000000000001</v>
      </c>
      <c r="Y89" s="10">
        <v>6.65</v>
      </c>
      <c r="Z89" s="10">
        <v>1.93</v>
      </c>
      <c r="AA89" s="10">
        <v>1.06</v>
      </c>
      <c r="AB89" s="10">
        <v>4.6100000000000003</v>
      </c>
      <c r="AC89" s="10">
        <v>94.8</v>
      </c>
      <c r="AD89" s="16">
        <v>75</v>
      </c>
      <c r="AE89" s="10">
        <v>479.12</v>
      </c>
      <c r="AF89" s="10">
        <v>5.21</v>
      </c>
      <c r="AG89" s="9" t="s">
        <v>18</v>
      </c>
    </row>
    <row r="90" spans="1:33" s="12" customFormat="1" ht="19.95" customHeight="1" x14ac:dyDescent="0.25">
      <c r="A90" s="1" t="s">
        <v>182</v>
      </c>
      <c r="B90" s="9">
        <v>2</v>
      </c>
      <c r="C90" s="9">
        <v>72</v>
      </c>
      <c r="D90" s="10">
        <v>1.78</v>
      </c>
      <c r="E90" s="10">
        <v>70</v>
      </c>
      <c r="F90" s="10">
        <v>22.093170054285999</v>
      </c>
      <c r="G90" s="9">
        <v>0</v>
      </c>
      <c r="H90" s="9" t="s">
        <v>29</v>
      </c>
      <c r="I90" s="9" t="s">
        <v>205</v>
      </c>
      <c r="J90" s="10">
        <v>0.67</v>
      </c>
      <c r="K90" s="10" t="s">
        <v>19</v>
      </c>
      <c r="L90" s="13" t="s">
        <v>19</v>
      </c>
      <c r="M90" s="13" t="s">
        <v>19</v>
      </c>
      <c r="N90" s="13" t="s">
        <v>19</v>
      </c>
      <c r="O90" s="14" t="s">
        <v>54</v>
      </c>
      <c r="P90" s="14" t="s">
        <v>30</v>
      </c>
      <c r="Q90" s="10">
        <v>207</v>
      </c>
      <c r="R90" s="10" t="s">
        <v>0</v>
      </c>
      <c r="S90" s="10">
        <v>0.63</v>
      </c>
      <c r="T90" s="10" t="s">
        <v>0</v>
      </c>
      <c r="U90" s="10">
        <v>62.29</v>
      </c>
      <c r="V90" s="10" t="s">
        <v>0</v>
      </c>
      <c r="W90" s="10">
        <v>9.5</v>
      </c>
      <c r="X90" s="10">
        <v>27.7</v>
      </c>
      <c r="Y90" s="10" t="s">
        <v>0</v>
      </c>
      <c r="Z90" s="10" t="s">
        <v>0</v>
      </c>
      <c r="AA90" s="10" t="s">
        <v>0</v>
      </c>
      <c r="AB90" s="10" t="s">
        <v>0</v>
      </c>
      <c r="AC90" s="15" t="s">
        <v>0</v>
      </c>
      <c r="AD90" s="16" t="s">
        <v>0</v>
      </c>
      <c r="AE90" s="10" t="s">
        <v>0</v>
      </c>
      <c r="AF90" s="10" t="s">
        <v>0</v>
      </c>
      <c r="AG90" s="9" t="s">
        <v>18</v>
      </c>
    </row>
    <row r="91" spans="1:33" s="12" customFormat="1" ht="19.95" customHeight="1" x14ac:dyDescent="0.25">
      <c r="A91" s="1" t="s">
        <v>183</v>
      </c>
      <c r="B91" s="9">
        <v>1</v>
      </c>
      <c r="C91" s="9">
        <v>51</v>
      </c>
      <c r="D91" s="10">
        <v>1.62</v>
      </c>
      <c r="E91" s="10">
        <v>64</v>
      </c>
      <c r="F91" s="10">
        <v>24.386526444139601</v>
      </c>
      <c r="G91" s="9">
        <v>0</v>
      </c>
      <c r="H91" s="9" t="s">
        <v>29</v>
      </c>
      <c r="I91" s="9" t="s">
        <v>205</v>
      </c>
      <c r="J91" s="10">
        <v>5</v>
      </c>
      <c r="K91" s="10" t="s">
        <v>19</v>
      </c>
      <c r="L91" s="13" t="s">
        <v>19</v>
      </c>
      <c r="M91" s="13" t="s">
        <v>19</v>
      </c>
      <c r="N91" s="13" t="s">
        <v>286</v>
      </c>
      <c r="O91" s="14" t="s">
        <v>48</v>
      </c>
      <c r="P91" s="14" t="s">
        <v>30</v>
      </c>
      <c r="Q91" s="10">
        <v>104.39999999999999</v>
      </c>
      <c r="R91" s="10">
        <v>201.78000000000003</v>
      </c>
      <c r="S91" s="10">
        <v>0.53</v>
      </c>
      <c r="T91" s="10">
        <v>1.74</v>
      </c>
      <c r="U91" s="10">
        <v>83.57</v>
      </c>
      <c r="V91" s="10">
        <v>340.98</v>
      </c>
      <c r="W91" s="10" t="s">
        <v>0</v>
      </c>
      <c r="X91" s="20">
        <v>14</v>
      </c>
      <c r="Y91" s="10" t="s">
        <v>0</v>
      </c>
      <c r="Z91" s="10" t="s">
        <v>0</v>
      </c>
      <c r="AA91" s="10" t="s">
        <v>0</v>
      </c>
      <c r="AB91" s="10" t="s">
        <v>0</v>
      </c>
      <c r="AC91" s="15" t="s">
        <v>0</v>
      </c>
      <c r="AD91" s="16" t="s">
        <v>0</v>
      </c>
      <c r="AE91" s="10" t="s">
        <v>0</v>
      </c>
      <c r="AF91" s="10" t="s">
        <v>0</v>
      </c>
      <c r="AG91" s="9" t="s">
        <v>18</v>
      </c>
    </row>
    <row r="92" spans="1:33" s="12" customFormat="1" ht="19.95" customHeight="1" x14ac:dyDescent="0.25">
      <c r="A92" s="1" t="s">
        <v>184</v>
      </c>
      <c r="B92" s="9">
        <v>2</v>
      </c>
      <c r="C92" s="9">
        <v>57</v>
      </c>
      <c r="D92" s="10">
        <v>1.78</v>
      </c>
      <c r="E92" s="10">
        <v>78</v>
      </c>
      <c r="F92" s="10">
        <v>24.6181037747759</v>
      </c>
      <c r="G92" s="9">
        <v>0</v>
      </c>
      <c r="H92" s="9" t="s">
        <v>29</v>
      </c>
      <c r="I92" s="9" t="s">
        <v>205</v>
      </c>
      <c r="J92" s="10">
        <v>20</v>
      </c>
      <c r="K92" s="10" t="s">
        <v>19</v>
      </c>
      <c r="L92" s="13" t="s">
        <v>19</v>
      </c>
      <c r="M92" s="13" t="s">
        <v>19</v>
      </c>
      <c r="N92" s="13" t="s">
        <v>286</v>
      </c>
      <c r="O92" s="14" t="s">
        <v>54</v>
      </c>
      <c r="P92" s="14" t="s">
        <v>30</v>
      </c>
      <c r="Q92" s="10" t="s">
        <v>0</v>
      </c>
      <c r="R92" s="10" t="s">
        <v>0</v>
      </c>
      <c r="S92" s="10" t="s">
        <v>0</v>
      </c>
      <c r="T92" s="10" t="s">
        <v>0</v>
      </c>
      <c r="U92" s="10" t="s">
        <v>0</v>
      </c>
      <c r="V92" s="10" t="s">
        <v>0</v>
      </c>
      <c r="W92" s="10" t="s">
        <v>0</v>
      </c>
      <c r="X92" s="10" t="s">
        <v>0</v>
      </c>
      <c r="Y92" s="10" t="s">
        <v>0</v>
      </c>
      <c r="Z92" s="10" t="s">
        <v>0</v>
      </c>
      <c r="AA92" s="10" t="s">
        <v>0</v>
      </c>
      <c r="AB92" s="10" t="s">
        <v>0</v>
      </c>
      <c r="AC92" s="10" t="s">
        <v>0</v>
      </c>
      <c r="AD92" s="10" t="s">
        <v>0</v>
      </c>
      <c r="AE92" s="10" t="s">
        <v>0</v>
      </c>
      <c r="AF92" s="10" t="s">
        <v>0</v>
      </c>
      <c r="AG92" s="9" t="s">
        <v>18</v>
      </c>
    </row>
    <row r="93" spans="1:33" s="12" customFormat="1" ht="19.95" customHeight="1" x14ac:dyDescent="0.25">
      <c r="A93" s="1" t="s">
        <v>185</v>
      </c>
      <c r="B93" s="9">
        <v>1</v>
      </c>
      <c r="C93" s="9">
        <v>51</v>
      </c>
      <c r="D93" s="10">
        <v>1.6</v>
      </c>
      <c r="E93" s="10">
        <v>70</v>
      </c>
      <c r="F93" s="10">
        <v>27.34375</v>
      </c>
      <c r="G93" s="9">
        <v>0</v>
      </c>
      <c r="H93" s="9" t="s">
        <v>29</v>
      </c>
      <c r="I93" s="9" t="s">
        <v>205</v>
      </c>
      <c r="J93" s="10">
        <v>8.3333333333333301E-2</v>
      </c>
      <c r="K93" s="10" t="s">
        <v>19</v>
      </c>
      <c r="L93" s="13" t="s">
        <v>19</v>
      </c>
      <c r="M93" s="13" t="s">
        <v>19</v>
      </c>
      <c r="N93" s="13" t="s">
        <v>33</v>
      </c>
      <c r="O93" s="14" t="s">
        <v>54</v>
      </c>
      <c r="P93" s="14" t="s">
        <v>30</v>
      </c>
      <c r="Q93" s="10">
        <v>244.79999999999998</v>
      </c>
      <c r="R93" s="10">
        <v>396.36</v>
      </c>
      <c r="S93" s="10">
        <v>0.36</v>
      </c>
      <c r="T93" s="10">
        <v>0.45</v>
      </c>
      <c r="U93" s="10">
        <v>60.43</v>
      </c>
      <c r="V93" s="10">
        <v>431.19</v>
      </c>
      <c r="W93" s="10">
        <v>12.5</v>
      </c>
      <c r="X93" s="10">
        <v>37.6</v>
      </c>
      <c r="Y93" s="10">
        <v>4</v>
      </c>
      <c r="Z93" s="10">
        <v>0.91</v>
      </c>
      <c r="AA93" s="10">
        <v>1.06</v>
      </c>
      <c r="AB93" s="10">
        <v>2.5499999999999998</v>
      </c>
      <c r="AC93" s="15">
        <v>136.1</v>
      </c>
      <c r="AD93" s="16">
        <v>34</v>
      </c>
      <c r="AE93" s="10">
        <v>497.78</v>
      </c>
      <c r="AF93" s="10">
        <v>15.58</v>
      </c>
      <c r="AG93" s="9" t="s">
        <v>18</v>
      </c>
    </row>
    <row r="94" spans="1:33" s="12" customFormat="1" ht="19.95" customHeight="1" x14ac:dyDescent="0.25">
      <c r="A94" s="1" t="s">
        <v>186</v>
      </c>
      <c r="B94" s="9">
        <v>2</v>
      </c>
      <c r="C94" s="9">
        <v>68</v>
      </c>
      <c r="D94" s="10">
        <v>1.75</v>
      </c>
      <c r="E94" s="10">
        <v>76</v>
      </c>
      <c r="F94" s="10">
        <v>24.816326530612244</v>
      </c>
      <c r="G94" s="9">
        <v>0</v>
      </c>
      <c r="H94" s="9" t="s">
        <v>29</v>
      </c>
      <c r="I94" s="9" t="s">
        <v>205</v>
      </c>
      <c r="J94" s="10">
        <v>7</v>
      </c>
      <c r="K94" s="10" t="s">
        <v>19</v>
      </c>
      <c r="L94" s="13" t="s">
        <v>19</v>
      </c>
      <c r="M94" s="13" t="s">
        <v>19</v>
      </c>
      <c r="N94" s="13" t="s">
        <v>19</v>
      </c>
      <c r="O94" s="14" t="s">
        <v>75</v>
      </c>
      <c r="P94" s="14" t="s">
        <v>30</v>
      </c>
      <c r="Q94" s="10">
        <v>133.19999999999999</v>
      </c>
      <c r="R94" s="10">
        <v>189</v>
      </c>
      <c r="S94" s="10" t="s">
        <v>0</v>
      </c>
      <c r="T94" s="10" t="s">
        <v>0</v>
      </c>
      <c r="U94" s="10" t="s">
        <v>0</v>
      </c>
      <c r="V94" s="10" t="s">
        <v>0</v>
      </c>
      <c r="W94" s="10">
        <v>6.1</v>
      </c>
      <c r="X94" s="10" t="s">
        <v>0</v>
      </c>
      <c r="Y94" s="10" t="s">
        <v>0</v>
      </c>
      <c r="Z94" s="10" t="s">
        <v>0</v>
      </c>
      <c r="AA94" s="10" t="s">
        <v>0</v>
      </c>
      <c r="AB94" s="10" t="s">
        <v>0</v>
      </c>
      <c r="AC94" s="15" t="s">
        <v>0</v>
      </c>
      <c r="AD94" s="16" t="s">
        <v>0</v>
      </c>
      <c r="AE94" s="10" t="s">
        <v>0</v>
      </c>
      <c r="AF94" s="10" t="s">
        <v>0</v>
      </c>
      <c r="AG94" s="9" t="s">
        <v>18</v>
      </c>
    </row>
    <row r="95" spans="1:33" s="12" customFormat="1" ht="19.95" customHeight="1" x14ac:dyDescent="0.25">
      <c r="A95" s="1" t="s">
        <v>187</v>
      </c>
      <c r="B95" s="9">
        <v>1</v>
      </c>
      <c r="C95" s="9">
        <v>61</v>
      </c>
      <c r="D95" s="10">
        <v>1.62</v>
      </c>
      <c r="E95" s="10">
        <v>61</v>
      </c>
      <c r="F95" s="10">
        <v>23.2434080170705</v>
      </c>
      <c r="G95" s="9">
        <v>0</v>
      </c>
      <c r="H95" s="9" t="s">
        <v>29</v>
      </c>
      <c r="I95" s="9" t="s">
        <v>205</v>
      </c>
      <c r="J95" s="10">
        <v>5</v>
      </c>
      <c r="K95" s="10" t="s">
        <v>19</v>
      </c>
      <c r="L95" s="13" t="s">
        <v>19</v>
      </c>
      <c r="M95" s="13" t="s">
        <v>19</v>
      </c>
      <c r="N95" s="13" t="s">
        <v>33</v>
      </c>
      <c r="O95" s="14" t="s">
        <v>61</v>
      </c>
      <c r="P95" s="9" t="s">
        <v>209</v>
      </c>
      <c r="Q95" s="10">
        <v>262.8</v>
      </c>
      <c r="R95" s="10" t="s">
        <v>0</v>
      </c>
      <c r="S95" s="10" t="s">
        <v>0</v>
      </c>
      <c r="T95" s="10" t="s">
        <v>0</v>
      </c>
      <c r="U95" s="10" t="s">
        <v>0</v>
      </c>
      <c r="V95" s="10" t="s">
        <v>0</v>
      </c>
      <c r="W95" s="10">
        <v>6.7</v>
      </c>
      <c r="X95" s="10">
        <v>21.4</v>
      </c>
      <c r="Y95" s="10">
        <v>4.45</v>
      </c>
      <c r="Z95" s="10">
        <v>1.01</v>
      </c>
      <c r="AA95" s="10">
        <v>1.08</v>
      </c>
      <c r="AB95" s="10">
        <v>3.28</v>
      </c>
      <c r="AC95" s="15">
        <v>69.099999999999994</v>
      </c>
      <c r="AD95" s="16">
        <v>80</v>
      </c>
      <c r="AE95" s="10">
        <v>332.83</v>
      </c>
      <c r="AF95" s="10">
        <v>5.24</v>
      </c>
      <c r="AG95" s="9" t="s">
        <v>18</v>
      </c>
    </row>
    <row r="96" spans="1:33" s="12" customFormat="1" ht="19.95" customHeight="1" x14ac:dyDescent="0.25">
      <c r="A96" s="1" t="s">
        <v>188</v>
      </c>
      <c r="B96" s="9">
        <v>1</v>
      </c>
      <c r="C96" s="9">
        <v>37</v>
      </c>
      <c r="D96" s="10">
        <v>1.585</v>
      </c>
      <c r="E96" s="10">
        <v>54.7</v>
      </c>
      <c r="F96" s="10">
        <v>21.773527450765755</v>
      </c>
      <c r="G96" s="9">
        <v>0</v>
      </c>
      <c r="H96" s="9" t="s">
        <v>29</v>
      </c>
      <c r="I96" s="9" t="s">
        <v>205</v>
      </c>
      <c r="J96" s="10">
        <v>0.1</v>
      </c>
      <c r="K96" s="10" t="s">
        <v>19</v>
      </c>
      <c r="L96" s="13" t="s">
        <v>19</v>
      </c>
      <c r="M96" s="13" t="s">
        <v>19</v>
      </c>
      <c r="N96" s="13" t="s">
        <v>19</v>
      </c>
      <c r="O96" s="14" t="s">
        <v>216</v>
      </c>
      <c r="P96" s="14" t="s">
        <v>30</v>
      </c>
      <c r="Q96" s="10">
        <v>93.42</v>
      </c>
      <c r="R96" s="10">
        <v>97.02</v>
      </c>
      <c r="S96" s="10">
        <v>0.67266000000000004</v>
      </c>
      <c r="T96" s="10" t="s">
        <v>0</v>
      </c>
      <c r="U96" s="10">
        <v>63.239999999999995</v>
      </c>
      <c r="V96" s="10" t="s">
        <v>0</v>
      </c>
      <c r="W96" s="10">
        <v>4.3</v>
      </c>
      <c r="X96" s="10">
        <v>10.6</v>
      </c>
      <c r="Y96" s="10" t="s">
        <v>0</v>
      </c>
      <c r="Z96" s="10">
        <v>0.72</v>
      </c>
      <c r="AA96" s="10">
        <v>1.92</v>
      </c>
      <c r="AB96" s="10">
        <v>2.17</v>
      </c>
      <c r="AC96" s="15" t="s">
        <v>0</v>
      </c>
      <c r="AD96" s="16" t="s">
        <v>0</v>
      </c>
      <c r="AE96" s="10" t="s">
        <v>0</v>
      </c>
      <c r="AF96" s="10" t="s">
        <v>0</v>
      </c>
      <c r="AG96" s="9" t="s">
        <v>18</v>
      </c>
    </row>
    <row r="97" spans="1:33" s="12" customFormat="1" ht="19.95" customHeight="1" x14ac:dyDescent="0.25">
      <c r="A97" s="1" t="s">
        <v>189</v>
      </c>
      <c r="B97" s="9">
        <v>2</v>
      </c>
      <c r="C97" s="9">
        <v>57</v>
      </c>
      <c r="D97" s="10">
        <v>1.71</v>
      </c>
      <c r="E97" s="10">
        <v>64.5</v>
      </c>
      <c r="F97" s="10">
        <v>22.058069149481891</v>
      </c>
      <c r="G97" s="9">
        <v>0</v>
      </c>
      <c r="H97" s="9" t="s">
        <v>29</v>
      </c>
      <c r="I97" s="9" t="s">
        <v>205</v>
      </c>
      <c r="J97" s="10">
        <v>10</v>
      </c>
      <c r="K97" s="10" t="s">
        <v>19</v>
      </c>
      <c r="L97" s="13" t="s">
        <v>19</v>
      </c>
      <c r="M97" s="13" t="s">
        <v>19</v>
      </c>
      <c r="N97" s="13" t="s">
        <v>36</v>
      </c>
      <c r="O97" s="14" t="s">
        <v>44</v>
      </c>
      <c r="P97" s="14" t="s">
        <v>30</v>
      </c>
      <c r="Q97" s="10">
        <v>160.19999999999999</v>
      </c>
      <c r="R97" s="10">
        <v>243</v>
      </c>
      <c r="S97" s="10" t="s">
        <v>0</v>
      </c>
      <c r="T97" s="10" t="s">
        <v>0</v>
      </c>
      <c r="U97" s="10" t="s">
        <v>0</v>
      </c>
      <c r="V97" s="10" t="s">
        <v>0</v>
      </c>
      <c r="W97" s="10">
        <v>8.5</v>
      </c>
      <c r="X97" s="10" t="s">
        <v>0</v>
      </c>
      <c r="Y97" s="10" t="s">
        <v>0</v>
      </c>
      <c r="Z97" s="10" t="s">
        <v>0</v>
      </c>
      <c r="AA97" s="10" t="s">
        <v>0</v>
      </c>
      <c r="AB97" s="10" t="s">
        <v>0</v>
      </c>
      <c r="AC97" s="15" t="s">
        <v>0</v>
      </c>
      <c r="AD97" s="16" t="s">
        <v>0</v>
      </c>
      <c r="AE97" s="10" t="s">
        <v>0</v>
      </c>
      <c r="AF97" s="10" t="s">
        <v>0</v>
      </c>
      <c r="AG97" s="9" t="s">
        <v>18</v>
      </c>
    </row>
    <row r="98" spans="1:33" s="12" customFormat="1" ht="19.95" customHeight="1" x14ac:dyDescent="0.25">
      <c r="A98" s="1" t="s">
        <v>190</v>
      </c>
      <c r="B98" s="9">
        <v>1</v>
      </c>
      <c r="C98" s="9">
        <v>67</v>
      </c>
      <c r="D98" s="10">
        <v>1.62</v>
      </c>
      <c r="E98" s="10">
        <v>54</v>
      </c>
      <c r="F98" s="10">
        <v>20.576131687242796</v>
      </c>
      <c r="G98" s="9">
        <v>0</v>
      </c>
      <c r="H98" s="9" t="s">
        <v>29</v>
      </c>
      <c r="I98" s="9" t="s">
        <v>205</v>
      </c>
      <c r="J98" s="10">
        <v>0.41</v>
      </c>
      <c r="K98" s="10" t="s">
        <v>19</v>
      </c>
      <c r="L98" s="13" t="s">
        <v>19</v>
      </c>
      <c r="M98" s="13" t="s">
        <v>19</v>
      </c>
      <c r="N98" s="13" t="s">
        <v>19</v>
      </c>
      <c r="O98" s="14" t="s">
        <v>64</v>
      </c>
      <c r="P98" s="14" t="s">
        <v>30</v>
      </c>
      <c r="Q98" s="10">
        <v>90</v>
      </c>
      <c r="R98" s="10">
        <v>144</v>
      </c>
      <c r="S98" s="10" t="s">
        <v>0</v>
      </c>
      <c r="T98" s="10" t="s">
        <v>0</v>
      </c>
      <c r="U98" s="10" t="s">
        <v>0</v>
      </c>
      <c r="V98" s="10" t="s">
        <v>0</v>
      </c>
      <c r="W98" s="10">
        <v>7.6</v>
      </c>
      <c r="X98" s="10" t="s">
        <v>0</v>
      </c>
      <c r="Y98" s="10" t="s">
        <v>0</v>
      </c>
      <c r="Z98" s="10" t="s">
        <v>0</v>
      </c>
      <c r="AA98" s="10" t="s">
        <v>0</v>
      </c>
      <c r="AB98" s="10" t="s">
        <v>0</v>
      </c>
      <c r="AC98" s="15" t="s">
        <v>0</v>
      </c>
      <c r="AD98" s="16" t="s">
        <v>0</v>
      </c>
      <c r="AE98" s="10" t="s">
        <v>0</v>
      </c>
      <c r="AF98" s="10" t="s">
        <v>0</v>
      </c>
      <c r="AG98" s="9" t="s">
        <v>18</v>
      </c>
    </row>
    <row r="99" spans="1:33" s="12" customFormat="1" ht="19.95" customHeight="1" x14ac:dyDescent="0.25">
      <c r="A99" s="1" t="s">
        <v>191</v>
      </c>
      <c r="B99" s="9">
        <v>1</v>
      </c>
      <c r="C99" s="9">
        <v>64</v>
      </c>
      <c r="D99" s="10">
        <v>1.6</v>
      </c>
      <c r="E99" s="10">
        <v>60</v>
      </c>
      <c r="F99" s="10">
        <v>23.4375</v>
      </c>
      <c r="G99" s="9">
        <v>0</v>
      </c>
      <c r="H99" s="9" t="s">
        <v>29</v>
      </c>
      <c r="I99" s="9" t="s">
        <v>205</v>
      </c>
      <c r="J99" s="10">
        <v>7</v>
      </c>
      <c r="K99" s="10" t="s">
        <v>19</v>
      </c>
      <c r="L99" s="13" t="s">
        <v>19</v>
      </c>
      <c r="M99" s="13" t="s">
        <v>19</v>
      </c>
      <c r="N99" s="13" t="s">
        <v>19</v>
      </c>
      <c r="O99" s="14" t="s">
        <v>67</v>
      </c>
      <c r="P99" s="14" t="s">
        <v>30</v>
      </c>
      <c r="Q99" s="10">
        <v>179.1</v>
      </c>
      <c r="R99" s="10">
        <v>340.2</v>
      </c>
      <c r="S99" s="10">
        <v>1.07559</v>
      </c>
      <c r="T99" s="10" t="s">
        <v>0</v>
      </c>
      <c r="U99" s="10">
        <v>69.900000000000006</v>
      </c>
      <c r="V99" s="10" t="s">
        <v>0</v>
      </c>
      <c r="W99" s="10" t="s">
        <v>0</v>
      </c>
      <c r="X99" s="10" t="s">
        <v>0</v>
      </c>
      <c r="Y99" s="10" t="s">
        <v>0</v>
      </c>
      <c r="Z99" s="10" t="s">
        <v>0</v>
      </c>
      <c r="AA99" s="10" t="s">
        <v>0</v>
      </c>
      <c r="AB99" s="10" t="s">
        <v>0</v>
      </c>
      <c r="AC99" s="15" t="s">
        <v>0</v>
      </c>
      <c r="AD99" s="16" t="s">
        <v>0</v>
      </c>
      <c r="AE99" s="10" t="s">
        <v>0</v>
      </c>
      <c r="AF99" s="10" t="s">
        <v>0</v>
      </c>
      <c r="AG99" s="9" t="s">
        <v>18</v>
      </c>
    </row>
    <row r="100" spans="1:33" s="12" customFormat="1" ht="19.95" customHeight="1" x14ac:dyDescent="0.25">
      <c r="A100" s="1" t="s">
        <v>192</v>
      </c>
      <c r="B100" s="9">
        <v>2</v>
      </c>
      <c r="C100" s="9">
        <v>65</v>
      </c>
      <c r="D100" s="10">
        <v>1.7</v>
      </c>
      <c r="E100" s="10">
        <v>65</v>
      </c>
      <c r="F100" s="10">
        <v>22.491349480968857</v>
      </c>
      <c r="G100" s="9">
        <v>0</v>
      </c>
      <c r="H100" s="9" t="s">
        <v>29</v>
      </c>
      <c r="I100" s="9" t="s">
        <v>205</v>
      </c>
      <c r="J100" s="10">
        <v>21</v>
      </c>
      <c r="K100" s="10" t="s">
        <v>19</v>
      </c>
      <c r="L100" s="13" t="s">
        <v>19</v>
      </c>
      <c r="M100" s="13" t="s">
        <v>19</v>
      </c>
      <c r="N100" s="13" t="s">
        <v>19</v>
      </c>
      <c r="O100" s="14" t="s">
        <v>217</v>
      </c>
      <c r="P100" s="14" t="s">
        <v>30</v>
      </c>
      <c r="Q100" s="10">
        <v>149.4</v>
      </c>
      <c r="R100" s="10">
        <v>287.82</v>
      </c>
      <c r="S100" s="10">
        <v>1.17882</v>
      </c>
      <c r="T100" s="10" t="s">
        <v>0</v>
      </c>
      <c r="U100" s="10">
        <v>89.64</v>
      </c>
      <c r="V100" s="10" t="s">
        <v>0</v>
      </c>
      <c r="W100" s="10">
        <v>7.3</v>
      </c>
      <c r="X100" s="10">
        <v>17.100000000000001</v>
      </c>
      <c r="Y100" s="10" t="s">
        <v>0</v>
      </c>
      <c r="Z100" s="10">
        <v>2.2000000000000002</v>
      </c>
      <c r="AA100" s="10">
        <v>1.07</v>
      </c>
      <c r="AB100" s="10">
        <v>4.3499999999999996</v>
      </c>
      <c r="AC100" s="15" t="s">
        <v>0</v>
      </c>
      <c r="AD100" s="16" t="s">
        <v>0</v>
      </c>
      <c r="AE100" s="10" t="s">
        <v>0</v>
      </c>
      <c r="AF100" s="10" t="s">
        <v>0</v>
      </c>
      <c r="AG100" s="9" t="s">
        <v>18</v>
      </c>
    </row>
    <row r="101" spans="1:33" s="12" customFormat="1" ht="19.95" customHeight="1" x14ac:dyDescent="0.25">
      <c r="A101" s="1" t="s">
        <v>193</v>
      </c>
      <c r="B101" s="9">
        <v>2</v>
      </c>
      <c r="C101" s="9">
        <v>72</v>
      </c>
      <c r="D101" s="10">
        <v>1.71</v>
      </c>
      <c r="E101" s="10">
        <v>64</v>
      </c>
      <c r="F101" s="10">
        <v>21.887076365377382</v>
      </c>
      <c r="G101" s="9">
        <v>0</v>
      </c>
      <c r="H101" s="9" t="s">
        <v>29</v>
      </c>
      <c r="I101" s="9" t="s">
        <v>205</v>
      </c>
      <c r="J101" s="10">
        <v>10</v>
      </c>
      <c r="K101" s="10" t="s">
        <v>19</v>
      </c>
      <c r="L101" s="13" t="s">
        <v>19</v>
      </c>
      <c r="M101" s="13" t="s">
        <v>19</v>
      </c>
      <c r="N101" s="13" t="s">
        <v>19</v>
      </c>
      <c r="O101" s="14" t="s">
        <v>68</v>
      </c>
      <c r="P101" s="14" t="s">
        <v>30</v>
      </c>
      <c r="Q101" s="10">
        <v>192.6</v>
      </c>
      <c r="R101" s="10">
        <v>304.2</v>
      </c>
      <c r="S101" s="10">
        <v>0.78255000000000008</v>
      </c>
      <c r="T101" s="10" t="s">
        <v>0</v>
      </c>
      <c r="U101" s="10">
        <v>46.08</v>
      </c>
      <c r="V101" s="10" t="s">
        <v>0</v>
      </c>
      <c r="W101" s="10">
        <v>11.1</v>
      </c>
      <c r="X101" s="10">
        <v>28.4</v>
      </c>
      <c r="Y101" s="10">
        <v>4.87</v>
      </c>
      <c r="Z101" s="10">
        <v>1.65</v>
      </c>
      <c r="AA101" s="10">
        <v>0.94</v>
      </c>
      <c r="AB101" s="10">
        <v>4.05</v>
      </c>
      <c r="AC101" s="15" t="s">
        <v>0</v>
      </c>
      <c r="AD101" s="16" t="s">
        <v>0</v>
      </c>
      <c r="AE101" s="10" t="s">
        <v>0</v>
      </c>
      <c r="AF101" s="10" t="s">
        <v>0</v>
      </c>
      <c r="AG101" s="9" t="s">
        <v>18</v>
      </c>
    </row>
    <row r="102" spans="1:33" s="12" customFormat="1" ht="19.95" customHeight="1" x14ac:dyDescent="0.25">
      <c r="A102" s="1" t="s">
        <v>194</v>
      </c>
      <c r="B102" s="9">
        <v>2</v>
      </c>
      <c r="C102" s="9">
        <v>60</v>
      </c>
      <c r="D102" s="10">
        <v>1.71</v>
      </c>
      <c r="E102" s="10">
        <v>69</v>
      </c>
      <c r="F102" s="10">
        <v>23.597004206422486</v>
      </c>
      <c r="G102" s="9">
        <v>0</v>
      </c>
      <c r="H102" s="9" t="s">
        <v>29</v>
      </c>
      <c r="I102" s="9" t="s">
        <v>205</v>
      </c>
      <c r="J102" s="10">
        <v>7</v>
      </c>
      <c r="K102" s="10" t="s">
        <v>19</v>
      </c>
      <c r="L102" s="13" t="s">
        <v>19</v>
      </c>
      <c r="M102" s="13" t="s">
        <v>19</v>
      </c>
      <c r="N102" s="13" t="s">
        <v>19</v>
      </c>
      <c r="O102" s="14" t="s">
        <v>62</v>
      </c>
      <c r="P102" s="14" t="s">
        <v>30</v>
      </c>
      <c r="Q102" s="10">
        <v>104.4</v>
      </c>
      <c r="R102" s="10">
        <v>136.80000000000001</v>
      </c>
      <c r="S102" s="10" t="s">
        <v>0</v>
      </c>
      <c r="T102" s="10" t="s">
        <v>0</v>
      </c>
      <c r="U102" s="10" t="s">
        <v>0</v>
      </c>
      <c r="V102" s="10" t="s">
        <v>0</v>
      </c>
      <c r="W102" s="10" t="s">
        <v>0</v>
      </c>
      <c r="X102" s="10" t="s">
        <v>0</v>
      </c>
      <c r="Y102" s="10" t="s">
        <v>0</v>
      </c>
      <c r="Z102" s="10" t="s">
        <v>0</v>
      </c>
      <c r="AA102" s="10" t="s">
        <v>0</v>
      </c>
      <c r="AB102" s="10" t="s">
        <v>0</v>
      </c>
      <c r="AC102" s="15" t="s">
        <v>0</v>
      </c>
      <c r="AD102" s="16" t="s">
        <v>0</v>
      </c>
      <c r="AE102" s="10" t="s">
        <v>0</v>
      </c>
      <c r="AF102" s="10" t="s">
        <v>0</v>
      </c>
      <c r="AG102" s="9" t="s">
        <v>18</v>
      </c>
    </row>
    <row r="103" spans="1:33" s="12" customFormat="1" ht="19.95" customHeight="1" x14ac:dyDescent="0.25">
      <c r="A103" s="1" t="s">
        <v>195</v>
      </c>
      <c r="B103" s="9">
        <v>2</v>
      </c>
      <c r="C103" s="9">
        <v>49</v>
      </c>
      <c r="D103" s="10">
        <v>1.79</v>
      </c>
      <c r="E103" s="10">
        <v>78</v>
      </c>
      <c r="F103" s="10">
        <v>24.343809494085704</v>
      </c>
      <c r="G103" s="9">
        <v>0</v>
      </c>
      <c r="H103" s="9" t="s">
        <v>29</v>
      </c>
      <c r="I103" s="9" t="s">
        <v>205</v>
      </c>
      <c r="J103" s="10">
        <v>0.5</v>
      </c>
      <c r="K103" s="10" t="s">
        <v>19</v>
      </c>
      <c r="L103" s="13" t="s">
        <v>31</v>
      </c>
      <c r="M103" s="13" t="s">
        <v>19</v>
      </c>
      <c r="N103" s="13" t="s">
        <v>247</v>
      </c>
      <c r="O103" s="14" t="s">
        <v>63</v>
      </c>
      <c r="P103" s="14" t="s">
        <v>277</v>
      </c>
      <c r="Q103" s="10">
        <v>128.34</v>
      </c>
      <c r="R103" s="10">
        <v>186.3</v>
      </c>
      <c r="S103" s="10">
        <v>1.1088900000000002</v>
      </c>
      <c r="T103" s="10" t="s">
        <v>0</v>
      </c>
      <c r="U103" s="10">
        <v>171.42000000000002</v>
      </c>
      <c r="V103" s="10" t="s">
        <v>0</v>
      </c>
      <c r="W103" s="10">
        <v>6.3</v>
      </c>
      <c r="X103" s="10">
        <v>15.9</v>
      </c>
      <c r="Y103" s="10">
        <v>5.49</v>
      </c>
      <c r="Z103" s="10">
        <v>1.69</v>
      </c>
      <c r="AA103" s="10">
        <v>1.24</v>
      </c>
      <c r="AB103" s="10">
        <v>3.96</v>
      </c>
      <c r="AC103" s="15">
        <v>91</v>
      </c>
      <c r="AD103" s="16">
        <v>86</v>
      </c>
      <c r="AE103" s="10">
        <v>259</v>
      </c>
      <c r="AF103" s="10" t="s">
        <v>0</v>
      </c>
      <c r="AG103" s="9" t="s">
        <v>18</v>
      </c>
    </row>
    <row r="104" spans="1:33" s="12" customFormat="1" ht="19.95" customHeight="1" x14ac:dyDescent="0.25">
      <c r="A104" s="1" t="s">
        <v>196</v>
      </c>
      <c r="B104" s="9">
        <v>1</v>
      </c>
      <c r="C104" s="9">
        <v>65</v>
      </c>
      <c r="D104" s="10">
        <v>1.56</v>
      </c>
      <c r="E104" s="10">
        <v>51.5</v>
      </c>
      <c r="F104" s="10">
        <v>21.1620644312952</v>
      </c>
      <c r="G104" s="9">
        <v>0</v>
      </c>
      <c r="H104" s="9" t="s">
        <v>29</v>
      </c>
      <c r="I104" s="9" t="s">
        <v>205</v>
      </c>
      <c r="J104" s="10">
        <v>0.5</v>
      </c>
      <c r="K104" s="10" t="s">
        <v>19</v>
      </c>
      <c r="L104" s="13" t="s">
        <v>19</v>
      </c>
      <c r="M104" s="13" t="s">
        <v>19</v>
      </c>
      <c r="N104" s="13" t="s">
        <v>19</v>
      </c>
      <c r="O104" s="14" t="s">
        <v>64</v>
      </c>
      <c r="P104" s="14" t="s">
        <v>216</v>
      </c>
      <c r="Q104" s="10">
        <v>93.6</v>
      </c>
      <c r="R104" s="10">
        <v>167.4</v>
      </c>
      <c r="S104" s="10" t="s">
        <v>0</v>
      </c>
      <c r="T104" s="10" t="s">
        <v>0</v>
      </c>
      <c r="U104" s="10" t="s">
        <v>0</v>
      </c>
      <c r="V104" s="10" t="s">
        <v>0</v>
      </c>
      <c r="W104" s="10">
        <v>7</v>
      </c>
      <c r="X104" s="10" t="s">
        <v>0</v>
      </c>
      <c r="Y104" s="10" t="s">
        <v>0</v>
      </c>
      <c r="Z104" s="10" t="s">
        <v>0</v>
      </c>
      <c r="AA104" s="10" t="s">
        <v>0</v>
      </c>
      <c r="AB104" s="10" t="s">
        <v>0</v>
      </c>
      <c r="AC104" s="15" t="s">
        <v>0</v>
      </c>
      <c r="AD104" s="16" t="s">
        <v>0</v>
      </c>
      <c r="AE104" s="10" t="s">
        <v>0</v>
      </c>
      <c r="AF104" s="10" t="s">
        <v>0</v>
      </c>
      <c r="AG104" s="9" t="s">
        <v>18</v>
      </c>
    </row>
    <row r="105" spans="1:33" s="12" customFormat="1" ht="19.95" customHeight="1" x14ac:dyDescent="0.25">
      <c r="A105" s="1" t="s">
        <v>197</v>
      </c>
      <c r="B105" s="9">
        <v>1</v>
      </c>
      <c r="C105" s="9">
        <v>74</v>
      </c>
      <c r="D105" s="10">
        <v>1.415</v>
      </c>
      <c r="E105" s="10">
        <v>51</v>
      </c>
      <c r="F105" s="10">
        <v>25.471662775162631</v>
      </c>
      <c r="G105" s="9">
        <v>0</v>
      </c>
      <c r="H105" s="9" t="s">
        <v>29</v>
      </c>
      <c r="I105" s="9" t="s">
        <v>205</v>
      </c>
      <c r="J105" s="10">
        <v>15</v>
      </c>
      <c r="K105" s="10" t="s">
        <v>19</v>
      </c>
      <c r="L105" s="13" t="s">
        <v>21</v>
      </c>
      <c r="M105" s="13" t="s">
        <v>19</v>
      </c>
      <c r="N105" s="13" t="s">
        <v>248</v>
      </c>
      <c r="O105" s="14" t="s">
        <v>354</v>
      </c>
      <c r="P105" s="14" t="s">
        <v>278</v>
      </c>
      <c r="Q105" s="10">
        <v>162</v>
      </c>
      <c r="R105" s="10">
        <v>291.60000000000002</v>
      </c>
      <c r="S105" s="10" t="s">
        <v>0</v>
      </c>
      <c r="T105" s="10" t="s">
        <v>0</v>
      </c>
      <c r="U105" s="10" t="s">
        <v>0</v>
      </c>
      <c r="V105" s="10" t="s">
        <v>0</v>
      </c>
      <c r="W105" s="10">
        <v>10.6</v>
      </c>
      <c r="X105" s="10">
        <v>22.4</v>
      </c>
      <c r="Y105" s="10">
        <v>4.2699999999999996</v>
      </c>
      <c r="Z105" s="10">
        <v>3.51</v>
      </c>
      <c r="AA105" s="10">
        <v>1.1100000000000001</v>
      </c>
      <c r="AB105" s="10">
        <v>2.27</v>
      </c>
      <c r="AC105" s="15">
        <v>54.3</v>
      </c>
      <c r="AD105" s="16">
        <v>101</v>
      </c>
      <c r="AE105" s="10">
        <v>362.75</v>
      </c>
      <c r="AF105" s="10" t="s">
        <v>0</v>
      </c>
      <c r="AG105" s="9" t="s">
        <v>18</v>
      </c>
    </row>
    <row r="106" spans="1:33" s="12" customFormat="1" ht="19.95" customHeight="1" x14ac:dyDescent="0.25">
      <c r="A106" s="1" t="s">
        <v>198</v>
      </c>
      <c r="B106" s="9">
        <v>2</v>
      </c>
      <c r="C106" s="9">
        <v>66</v>
      </c>
      <c r="D106" s="10">
        <v>1.72</v>
      </c>
      <c r="E106" s="10">
        <v>62</v>
      </c>
      <c r="F106" s="10">
        <v>20.957274202271499</v>
      </c>
      <c r="G106" s="9">
        <v>0</v>
      </c>
      <c r="H106" s="9" t="s">
        <v>29</v>
      </c>
      <c r="I106" s="9" t="s">
        <v>205</v>
      </c>
      <c r="J106" s="10">
        <v>7</v>
      </c>
      <c r="K106" s="10" t="s">
        <v>19</v>
      </c>
      <c r="L106" s="13" t="s">
        <v>19</v>
      </c>
      <c r="M106" s="13" t="s">
        <v>19</v>
      </c>
      <c r="N106" s="13" t="s">
        <v>19</v>
      </c>
      <c r="O106" s="14" t="s">
        <v>65</v>
      </c>
      <c r="P106" s="14" t="s">
        <v>216</v>
      </c>
      <c r="Q106" s="10">
        <v>180</v>
      </c>
      <c r="R106" s="10">
        <v>234</v>
      </c>
      <c r="S106" s="10" t="s">
        <v>0</v>
      </c>
      <c r="T106" s="10" t="s">
        <v>0</v>
      </c>
      <c r="U106" s="10" t="s">
        <v>0</v>
      </c>
      <c r="V106" s="10" t="s">
        <v>0</v>
      </c>
      <c r="W106" s="10" t="s">
        <v>0</v>
      </c>
      <c r="X106" s="10" t="s">
        <v>0</v>
      </c>
      <c r="Y106" s="10" t="s">
        <v>0</v>
      </c>
      <c r="Z106" s="10" t="s">
        <v>0</v>
      </c>
      <c r="AA106" s="10" t="s">
        <v>0</v>
      </c>
      <c r="AB106" s="10" t="s">
        <v>0</v>
      </c>
      <c r="AC106" s="15" t="s">
        <v>0</v>
      </c>
      <c r="AD106" s="16" t="s">
        <v>0</v>
      </c>
      <c r="AE106" s="10" t="s">
        <v>0</v>
      </c>
      <c r="AF106" s="10" t="s">
        <v>0</v>
      </c>
      <c r="AG106" s="9" t="s">
        <v>18</v>
      </c>
    </row>
    <row r="107" spans="1:33" s="12" customFormat="1" ht="19.95" customHeight="1" x14ac:dyDescent="0.25">
      <c r="A107" s="1" t="s">
        <v>199</v>
      </c>
      <c r="B107" s="9">
        <v>1</v>
      </c>
      <c r="C107" s="9">
        <v>60</v>
      </c>
      <c r="D107" s="10">
        <v>1.57</v>
      </c>
      <c r="E107" s="10">
        <v>65</v>
      </c>
      <c r="F107" s="10">
        <v>26.370238143535236</v>
      </c>
      <c r="G107" s="9">
        <v>0</v>
      </c>
      <c r="H107" s="9" t="s">
        <v>29</v>
      </c>
      <c r="I107" s="9" t="s">
        <v>205</v>
      </c>
      <c r="J107" s="10">
        <v>0.1</v>
      </c>
      <c r="K107" s="10" t="s">
        <v>19</v>
      </c>
      <c r="L107" s="13" t="s">
        <v>19</v>
      </c>
      <c r="M107" s="13" t="s">
        <v>19</v>
      </c>
      <c r="N107" s="13" t="s">
        <v>35</v>
      </c>
      <c r="O107" s="14" t="s">
        <v>337</v>
      </c>
      <c r="P107" s="14" t="s">
        <v>279</v>
      </c>
      <c r="Q107" s="10">
        <v>140.4</v>
      </c>
      <c r="R107" s="10">
        <v>225.9</v>
      </c>
      <c r="S107" s="10">
        <v>1.23543</v>
      </c>
      <c r="T107" s="10" t="s">
        <v>0</v>
      </c>
      <c r="U107" s="10">
        <v>125.10000000000001</v>
      </c>
      <c r="V107" s="10" t="s">
        <v>0</v>
      </c>
      <c r="W107" s="10">
        <v>7.5</v>
      </c>
      <c r="X107" s="10">
        <v>18</v>
      </c>
      <c r="Y107" s="10" t="s">
        <v>0</v>
      </c>
      <c r="Z107" s="10">
        <v>0.93</v>
      </c>
      <c r="AA107" s="10">
        <v>2.06</v>
      </c>
      <c r="AB107" s="10">
        <v>3.65</v>
      </c>
      <c r="AC107" s="15" t="s">
        <v>0</v>
      </c>
      <c r="AD107" s="16" t="s">
        <v>0</v>
      </c>
      <c r="AE107" s="10" t="s">
        <v>0</v>
      </c>
      <c r="AF107" s="10" t="s">
        <v>0</v>
      </c>
      <c r="AG107" s="9" t="s">
        <v>18</v>
      </c>
    </row>
    <row r="108" spans="1:33" s="12" customFormat="1" ht="19.95" customHeight="1" x14ac:dyDescent="0.25">
      <c r="A108" s="1" t="s">
        <v>200</v>
      </c>
      <c r="B108" s="9">
        <v>1</v>
      </c>
      <c r="C108" s="9">
        <v>71</v>
      </c>
      <c r="D108" s="10">
        <v>1.7</v>
      </c>
      <c r="E108" s="10">
        <v>66.8</v>
      </c>
      <c r="F108" s="10">
        <v>23.114186851211073</v>
      </c>
      <c r="G108" s="9">
        <v>0</v>
      </c>
      <c r="H108" s="9" t="s">
        <v>29</v>
      </c>
      <c r="I108" s="9" t="s">
        <v>205</v>
      </c>
      <c r="J108" s="10">
        <v>20</v>
      </c>
      <c r="K108" s="10" t="s">
        <v>19</v>
      </c>
      <c r="L108" s="13" t="s">
        <v>19</v>
      </c>
      <c r="M108" s="13" t="s">
        <v>19</v>
      </c>
      <c r="N108" s="13" t="s">
        <v>33</v>
      </c>
      <c r="O108" s="14" t="s">
        <v>66</v>
      </c>
      <c r="P108" s="14" t="s">
        <v>216</v>
      </c>
      <c r="Q108" s="10">
        <v>162</v>
      </c>
      <c r="R108" s="10">
        <v>288</v>
      </c>
      <c r="S108" s="10" t="s">
        <v>0</v>
      </c>
      <c r="T108" s="10" t="s">
        <v>0</v>
      </c>
      <c r="U108" s="10">
        <v>17.580000000000002</v>
      </c>
      <c r="V108" s="10" t="s">
        <v>0</v>
      </c>
      <c r="W108" s="10">
        <v>10.1</v>
      </c>
      <c r="X108" s="10" t="s">
        <v>0</v>
      </c>
      <c r="Y108" s="10">
        <v>5.9</v>
      </c>
      <c r="Z108" s="10">
        <v>2.21</v>
      </c>
      <c r="AA108" s="10">
        <v>1.48</v>
      </c>
      <c r="AB108" s="10">
        <v>3.89</v>
      </c>
      <c r="AC108" s="15">
        <v>72</v>
      </c>
      <c r="AD108" s="16">
        <v>73</v>
      </c>
      <c r="AE108" s="10">
        <v>369</v>
      </c>
      <c r="AF108" s="10" t="s">
        <v>0</v>
      </c>
      <c r="AG108" s="9" t="s">
        <v>18</v>
      </c>
    </row>
    <row r="109" spans="1:33" s="12" customFormat="1" ht="19.95" customHeight="1" x14ac:dyDescent="0.25">
      <c r="A109" s="1" t="s">
        <v>201</v>
      </c>
      <c r="B109" s="9">
        <v>1</v>
      </c>
      <c r="C109" s="9">
        <v>64</v>
      </c>
      <c r="D109" s="10">
        <v>1.6</v>
      </c>
      <c r="E109" s="10">
        <v>67</v>
      </c>
      <c r="F109" s="10">
        <v>26.171875</v>
      </c>
      <c r="G109" s="9">
        <v>0</v>
      </c>
      <c r="H109" s="9" t="s">
        <v>29</v>
      </c>
      <c r="I109" s="9" t="s">
        <v>205</v>
      </c>
      <c r="J109" s="10">
        <v>0.1</v>
      </c>
      <c r="K109" s="10" t="s">
        <v>19</v>
      </c>
      <c r="L109" s="13" t="s">
        <v>19</v>
      </c>
      <c r="M109" s="13" t="s">
        <v>19</v>
      </c>
      <c r="N109" s="13" t="s">
        <v>287</v>
      </c>
      <c r="O109" s="14" t="s">
        <v>47</v>
      </c>
      <c r="P109" s="14" t="s">
        <v>73</v>
      </c>
      <c r="Q109" s="10">
        <v>173.7</v>
      </c>
      <c r="R109" s="10">
        <v>262.8</v>
      </c>
      <c r="S109" s="10">
        <v>0.97902</v>
      </c>
      <c r="T109" s="10" t="s">
        <v>0</v>
      </c>
      <c r="U109" s="10">
        <v>78.06</v>
      </c>
      <c r="V109" s="10" t="s">
        <v>0</v>
      </c>
      <c r="W109" s="10">
        <v>9.3000000000000007</v>
      </c>
      <c r="X109" s="10" t="s">
        <v>0</v>
      </c>
      <c r="Y109" s="10" t="s">
        <v>0</v>
      </c>
      <c r="Z109" s="10" t="s">
        <v>0</v>
      </c>
      <c r="AA109" s="10" t="s">
        <v>0</v>
      </c>
      <c r="AB109" s="10" t="s">
        <v>0</v>
      </c>
      <c r="AC109" s="15" t="s">
        <v>0</v>
      </c>
      <c r="AD109" s="16" t="s">
        <v>0</v>
      </c>
      <c r="AE109" s="10" t="s">
        <v>0</v>
      </c>
      <c r="AF109" s="10" t="s">
        <v>0</v>
      </c>
      <c r="AG109" s="9" t="s">
        <v>18</v>
      </c>
    </row>
    <row r="110" spans="1:33" s="12" customFormat="1" ht="19.95" customHeight="1" x14ac:dyDescent="0.25">
      <c r="A110" s="1" t="s">
        <v>202</v>
      </c>
      <c r="B110" s="9">
        <v>1</v>
      </c>
      <c r="C110" s="9">
        <v>44</v>
      </c>
      <c r="D110" s="10">
        <v>1.52</v>
      </c>
      <c r="E110" s="10">
        <v>67</v>
      </c>
      <c r="F110" s="10">
        <v>28.999307479224377</v>
      </c>
      <c r="G110" s="9">
        <v>0</v>
      </c>
      <c r="H110" s="9" t="s">
        <v>29</v>
      </c>
      <c r="I110" s="9" t="s">
        <v>205</v>
      </c>
      <c r="J110" s="10">
        <v>0.1</v>
      </c>
      <c r="K110" s="10" t="s">
        <v>19</v>
      </c>
      <c r="L110" s="13" t="s">
        <v>19</v>
      </c>
      <c r="M110" s="13" t="s">
        <v>19</v>
      </c>
      <c r="N110" s="13" t="s">
        <v>19</v>
      </c>
      <c r="O110" s="14" t="s">
        <v>216</v>
      </c>
      <c r="P110" s="14" t="s">
        <v>216</v>
      </c>
      <c r="Q110" s="10">
        <v>124.92</v>
      </c>
      <c r="R110" s="10">
        <v>227.16</v>
      </c>
      <c r="S110" s="10" t="s">
        <v>0</v>
      </c>
      <c r="T110" s="10" t="s">
        <v>0</v>
      </c>
      <c r="U110" s="10" t="s">
        <v>0</v>
      </c>
      <c r="V110" s="10" t="s">
        <v>0</v>
      </c>
      <c r="W110" s="10">
        <v>7.2</v>
      </c>
      <c r="X110" s="10" t="s">
        <v>0</v>
      </c>
      <c r="Y110" s="10" t="s">
        <v>0</v>
      </c>
      <c r="Z110" s="10" t="s">
        <v>0</v>
      </c>
      <c r="AA110" s="10" t="s">
        <v>0</v>
      </c>
      <c r="AB110" s="10" t="s">
        <v>0</v>
      </c>
      <c r="AC110" s="15" t="s">
        <v>0</v>
      </c>
      <c r="AD110" s="16" t="s">
        <v>0</v>
      </c>
      <c r="AE110" s="10" t="s">
        <v>0</v>
      </c>
      <c r="AF110" s="10" t="s">
        <v>0</v>
      </c>
      <c r="AG110" s="9" t="s">
        <v>18</v>
      </c>
    </row>
  </sheetData>
  <autoFilter ref="A1:AG110" xr:uid="{CE67BDA3-260F-4253-BFE5-0C5AE5FBA8E8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T2DM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Jinhao Zhu</dc:creator>
  <cp:lastModifiedBy>lenovo</cp:lastModifiedBy>
  <dcterms:created xsi:type="dcterms:W3CDTF">2015-06-05T18:19:34Z</dcterms:created>
  <dcterms:modified xsi:type="dcterms:W3CDTF">2022-09-16T07:24:41Z</dcterms:modified>
</cp:coreProperties>
</file>